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blueholestudio-my.sharepoint.com/personal/taewoong_yoon_bluehole_net/Documents/바탕 화면/대회 뷰어십/PUBG Esports 통합 뷰어십/"/>
    </mc:Choice>
  </mc:AlternateContent>
  <xr:revisionPtr revIDLastSave="0" documentId="8_{1FDEFB37-8AFE-4AA2-A49F-1CF40F94E533}" xr6:coauthVersionLast="47" xr6:coauthVersionMax="47" xr10:uidLastSave="{00000000-0000-0000-0000-000000000000}"/>
  <bookViews>
    <workbookView minimized="1" xWindow="1900" yWindow="1900" windowWidth="19200" windowHeight="11170" firstSheet="2" xr2:uid="{755ECD3B-A4F4-4A54-88D4-A0DB1A72E3DE}"/>
  </bookViews>
  <sheets>
    <sheet name="지역 대회" sheetId="1" r:id="rId1"/>
    <sheet name="글로벌 대회" sheetId="2" r:id="rId2"/>
    <sheet name="PGS" sheetId="6" r:id="rId3"/>
    <sheet name="PNC" sheetId="7" r:id="rId4"/>
    <sheet name="PGC" sheetId="8" r:id="rId5"/>
    <sheet name="PCS" sheetId="9" r:id="rId6"/>
  </sheets>
  <definedNames>
    <definedName name="_xlnm._FilterDatabase" localSheetId="0" hidden="1">'지역 대회'!$A$1:$D$142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2" l="1"/>
  <c r="B61" i="2"/>
  <c r="B52" i="2"/>
  <c r="B46" i="2"/>
  <c r="B34" i="2"/>
  <c r="B8" i="2"/>
  <c r="B67" i="2"/>
  <c r="B58" i="2"/>
  <c r="B51" i="2"/>
  <c r="B41" i="2"/>
  <c r="B7" i="2"/>
  <c r="B70" i="2"/>
  <c r="B69" i="2"/>
  <c r="B66" i="2"/>
  <c r="B65" i="2"/>
  <c r="B60" i="2"/>
  <c r="B59" i="2"/>
  <c r="B56" i="2"/>
  <c r="B55" i="2"/>
  <c r="B50" i="2"/>
  <c r="B49" i="2"/>
</calcChain>
</file>

<file path=xl/sharedStrings.xml><?xml version="1.0" encoding="utf-8"?>
<sst xmlns="http://schemas.openxmlformats.org/spreadsheetml/2006/main" count="1774" uniqueCount="291">
  <si>
    <t>연도</t>
  </si>
  <si>
    <t>대회명</t>
  </si>
  <si>
    <t>지역/나라</t>
  </si>
  <si>
    <t>뷰어십 (Peak Viewers)</t>
  </si>
  <si>
    <t>── 2018 ──</t>
  </si>
  <si>
    <t>PUBG Korea League Season 1</t>
  </si>
  <si>
    <t>한국</t>
  </si>
  <si>
    <t>-</t>
    <phoneticPr fontId="1" type="noConversion"/>
  </si>
  <si>
    <t>PUBG Korea League Season 2</t>
  </si>
  <si>
    <t>PUBG SEA Championship</t>
  </si>
  <si>
    <t>동남아시아</t>
  </si>
  <si>
    <t>JIB PUBG SEA Championship</t>
  </si>
  <si>
    <t>PUBG Japan Series Season 1</t>
    <phoneticPr fontId="1" type="noConversion"/>
  </si>
  <si>
    <t>일본</t>
  </si>
  <si>
    <t>G-Loot Season 1</t>
    <phoneticPr fontId="1" type="noConversion"/>
  </si>
  <si>
    <t>유럽</t>
    <phoneticPr fontId="1" type="noConversion"/>
  </si>
  <si>
    <t>G-Loot Season 2</t>
    <phoneticPr fontId="1" type="noConversion"/>
  </si>
  <si>
    <t>G-Loot Season 3</t>
    <phoneticPr fontId="1" type="noConversion"/>
  </si>
  <si>
    <t>── 2019 ──</t>
  </si>
  <si>
    <t>PUBG Korea League Phase 1</t>
  </si>
  <si>
    <t>PUBG Korea League Phase 2</t>
  </si>
  <si>
    <t>PUBG Korea League Phase 3</t>
  </si>
  <si>
    <t>PUBG Champions League Spring</t>
  </si>
  <si>
    <t>중국</t>
  </si>
  <si>
    <t>PUBG Champions League Summer</t>
  </si>
  <si>
    <t>National PUBG League Phase 1</t>
  </si>
  <si>
    <t>북미</t>
  </si>
  <si>
    <t>National PUBG League Phase 2</t>
  </si>
  <si>
    <t>National PUBG League Phase 3</t>
  </si>
  <si>
    <t>PUBG SEA Championship Phase 1</t>
  </si>
  <si>
    <t>PUBG SEA Championship Phase 2</t>
  </si>
  <si>
    <t>PUBG SEA Championship Phase 3</t>
  </si>
  <si>
    <t>ESL AU &amp; NZ Championship Phase 1</t>
    <phoneticPr fontId="1" type="noConversion"/>
  </si>
  <si>
    <t>오세아니아</t>
    <phoneticPr fontId="1" type="noConversion"/>
  </si>
  <si>
    <t>ESL AU &amp; NZ Championship Phase 2</t>
    <phoneticPr fontId="1" type="noConversion"/>
  </si>
  <si>
    <t>ESL AU &amp; NZ Championship Phase 3</t>
    <phoneticPr fontId="1" type="noConversion"/>
  </si>
  <si>
    <t>PUBG Master League Phase 1</t>
    <phoneticPr fontId="1" type="noConversion"/>
  </si>
  <si>
    <t>Rest of APAC</t>
    <phoneticPr fontId="1" type="noConversion"/>
  </si>
  <si>
    <t>PUBG Master League Phase 2</t>
    <phoneticPr fontId="1" type="noConversion"/>
  </si>
  <si>
    <t>PUBG Master League Phase 3</t>
    <phoneticPr fontId="1" type="noConversion"/>
  </si>
  <si>
    <t>PUBG Japan Series Season 2 Phase 1</t>
    <phoneticPr fontId="1" type="noConversion"/>
  </si>
  <si>
    <t>PUBG Japan Series Season 2 Phase 2</t>
    <phoneticPr fontId="1" type="noConversion"/>
  </si>
  <si>
    <t>PUBG Japan Series Invitational</t>
    <phoneticPr fontId="1" type="noConversion"/>
  </si>
  <si>
    <t>LATAM PUBG Pro Series (ESL LA League: Season 2)</t>
    <phoneticPr fontId="1" type="noConversion"/>
  </si>
  <si>
    <t>라틴아메리카</t>
  </si>
  <si>
    <t>LATAM PUBG Pro Series (GLL LATAM Masters - Phase 2)</t>
    <phoneticPr fontId="1" type="noConversion"/>
  </si>
  <si>
    <t>LATAM PUBG Pro Series (ESL LA League: Season 3)</t>
    <phoneticPr fontId="1" type="noConversion"/>
  </si>
  <si>
    <t>LATAM PUBG Pro Series (ESL LA League Season 4)</t>
    <phoneticPr fontId="1" type="noConversion"/>
  </si>
  <si>
    <t>LATAM PUBG Pro Series (GLL LATAM Masters - Phase 3)</t>
    <phoneticPr fontId="1" type="noConversion"/>
  </si>
  <si>
    <t>PUBG Europe League Phase 1</t>
    <phoneticPr fontId="1" type="noConversion"/>
  </si>
  <si>
    <t>PUBG Europe League Phase 2</t>
    <phoneticPr fontId="1" type="noConversion"/>
  </si>
  <si>
    <t>PUBG Europe League Phase 3</t>
    <phoneticPr fontId="1" type="noConversion"/>
  </si>
  <si>
    <t>PUBG Vietnam Series Phase 3</t>
    <phoneticPr fontId="1" type="noConversion"/>
  </si>
  <si>
    <t>베트남</t>
    <phoneticPr fontId="1" type="noConversion"/>
  </si>
  <si>
    <t>── 2020 ──</t>
    <phoneticPr fontId="1" type="noConversion"/>
  </si>
  <si>
    <t>중국</t>
    <phoneticPr fontId="1" type="noConversion"/>
  </si>
  <si>
    <t>PUBG Champions League Autumn</t>
    <phoneticPr fontId="1" type="noConversion"/>
  </si>
  <si>
    <t>PUBG Master League Spring</t>
    <phoneticPr fontId="1" type="noConversion"/>
  </si>
  <si>
    <t>PUBG Master League Summer</t>
    <phoneticPr fontId="1" type="noConversion"/>
  </si>
  <si>
    <t>PUBG Master League Fall</t>
    <phoneticPr fontId="1" type="noConversion"/>
  </si>
  <si>
    <t>PUBG Japan Series Season 5 Grade 1 Phase 1</t>
    <phoneticPr fontId="1" type="noConversion"/>
  </si>
  <si>
    <t>PUBG Japan Series Season 5 Grade 1 Phase 2</t>
    <phoneticPr fontId="1" type="noConversion"/>
  </si>
  <si>
    <t>PUBG Thailand Series Phase 1</t>
  </si>
  <si>
    <t>태국</t>
    <phoneticPr fontId="1" type="noConversion"/>
  </si>
  <si>
    <t>PUBG Thailand Series Phase 2</t>
  </si>
  <si>
    <t>PUBG Thailand Series Phase 3</t>
  </si>
  <si>
    <t>PUBG Vietnam Series Spring</t>
    <phoneticPr fontId="1" type="noConversion"/>
  </si>
  <si>
    <t>PUBG Vietnam Series Summer</t>
    <phoneticPr fontId="1" type="noConversion"/>
  </si>
  <si>
    <t>PUBG Vietnam Series Fall</t>
    <phoneticPr fontId="1" type="noConversion"/>
  </si>
  <si>
    <t>PUBG Vietnam Series Winter</t>
    <phoneticPr fontId="1" type="noConversion"/>
  </si>
  <si>
    <t>G-Loot Season 4</t>
    <phoneticPr fontId="1" type="noConversion"/>
  </si>
  <si>
    <t>── 2021 ──</t>
  </si>
  <si>
    <t>PUBG Weekly Series: East Asia Phase 1</t>
  </si>
  <si>
    <t>동아시아</t>
    <phoneticPr fontId="1" type="noConversion"/>
  </si>
  <si>
    <t>PUBG Weekly Series: East Asia Phase 2</t>
  </si>
  <si>
    <t>PUBG Thailand Series Phase 1</t>
    <phoneticPr fontId="1" type="noConversion"/>
  </si>
  <si>
    <t>PUBG Thailand Series Phase 2</t>
    <phoneticPr fontId="1" type="noConversion"/>
  </si>
  <si>
    <t>PUBG Challenger Rumble Season 1</t>
    <phoneticPr fontId="1" type="noConversion"/>
  </si>
  <si>
    <t>동남아시아</t>
    <phoneticPr fontId="1" type="noConversion"/>
  </si>
  <si>
    <t>PUBG Challenger Rumble Season 2</t>
    <phoneticPr fontId="1" type="noConversion"/>
  </si>
  <si>
    <t>ESL PUBG Masters Americas Phase 1</t>
    <phoneticPr fontId="1" type="noConversion"/>
  </si>
  <si>
    <t>아메리카</t>
    <phoneticPr fontId="1" type="noConversion"/>
  </si>
  <si>
    <t>── 2022 ──</t>
  </si>
  <si>
    <t>PUBG Challenger Rumble Season 3</t>
    <phoneticPr fontId="1" type="noConversion"/>
  </si>
  <si>
    <t>PUBG Challenger Rumble Season 4</t>
    <phoneticPr fontId="1" type="noConversion"/>
  </si>
  <si>
    <t>G-Loot Season 5</t>
    <phoneticPr fontId="1" type="noConversion"/>
  </si>
  <si>
    <t>G-Loot Season 6</t>
    <phoneticPr fontId="1" type="noConversion"/>
  </si>
  <si>
    <t>ESL PUBG Masters Americas Phase 2</t>
    <phoneticPr fontId="1" type="noConversion"/>
  </si>
  <si>
    <t>── 2023 ──</t>
    <phoneticPr fontId="1" type="noConversion"/>
  </si>
  <si>
    <t>PUBG Weekly Series: Korea Phase 1</t>
  </si>
  <si>
    <t>PUBG Weekly Series: Korea Phase 2</t>
  </si>
  <si>
    <t>PUBG EMEA Championship Spring</t>
  </si>
  <si>
    <t>EMEA</t>
    <phoneticPr fontId="1" type="noConversion"/>
  </si>
  <si>
    <t>PUBG EMEA Championship Fall</t>
  </si>
  <si>
    <t>EMEA</t>
  </si>
  <si>
    <t>PUBG Americas Series 1</t>
  </si>
  <si>
    <t>아메리카</t>
  </si>
  <si>
    <t>PUBG Americas Series 2</t>
  </si>
  <si>
    <t>PUBG Vietnam Series Spring</t>
  </si>
  <si>
    <t>베트남</t>
  </si>
  <si>
    <t>PUBG Vietnam Series Fall</t>
  </si>
  <si>
    <t>태국</t>
  </si>
  <si>
    <t>── 2024 ──</t>
  </si>
  <si>
    <t>PUBG Champions League Autumn</t>
  </si>
  <si>
    <t>PUBG Americas Series 3</t>
  </si>
  <si>
    <t>PUBG Americas Series 4</t>
  </si>
  <si>
    <t>PUBG Global Series APAC Qualifiers Phase 1</t>
  </si>
  <si>
    <t>PUBG Global Series APAC Qualifiers Phase 2</t>
  </si>
  <si>
    <t>PUBG Vietnam Series Phase 1</t>
    <phoneticPr fontId="1" type="noConversion"/>
  </si>
  <si>
    <t>PUBG Vietnam Series Phase 2</t>
    <phoneticPr fontId="1" type="noConversion"/>
  </si>
  <si>
    <t>PUBG Master Series Phase 1</t>
    <phoneticPr fontId="1" type="noConversion"/>
  </si>
  <si>
    <t>PUBG Master Series Phase 2</t>
    <phoneticPr fontId="1" type="noConversion"/>
  </si>
  <si>
    <t>── 2025 ──</t>
  </si>
  <si>
    <t>PUBG Weekly Series Phase 1</t>
  </si>
  <si>
    <t>PUBG Weekly Series Phase 2</t>
  </si>
  <si>
    <t>PUBG Americas Series 5</t>
  </si>
  <si>
    <t>PUBG Americas Series 6</t>
  </si>
  <si>
    <t>* 중국 데이터는 UV 기준</t>
    <phoneticPr fontId="1" type="noConversion"/>
  </si>
  <si>
    <t>PCV (Peak)</t>
    <phoneticPr fontId="1" type="noConversion"/>
  </si>
  <si>
    <t>ACCV (Peak)</t>
    <phoneticPr fontId="1" type="noConversion"/>
  </si>
  <si>
    <t>글로벌 UV (Peak)</t>
    <phoneticPr fontId="1" type="noConversion"/>
  </si>
  <si>
    <t>중국 UV (Peak)</t>
  </si>
  <si>
    <t>Escharts 기준</t>
    <phoneticPr fontId="1" type="noConversion"/>
  </si>
  <si>
    <t>Official+Unofficial</t>
  </si>
  <si>
    <t>PUBG Global Invitational 2018</t>
    <phoneticPr fontId="1" type="noConversion"/>
  </si>
  <si>
    <t>PUBG Asia Invitational 2019</t>
    <phoneticPr fontId="1" type="noConversion"/>
  </si>
  <si>
    <t>── 2020 ──</t>
  </si>
  <si>
    <t>PUBG Esports 기준</t>
    <phoneticPr fontId="1" type="noConversion"/>
  </si>
  <si>
    <t>Official (평균)</t>
    <phoneticPr fontId="1" type="noConversion"/>
  </si>
  <si>
    <t>PUBG Continental Series 1: North America</t>
  </si>
  <si>
    <t>PUBG Continental Series 1: Asia Pacific</t>
  </si>
  <si>
    <t>PUBG Continental Series 1: Europe</t>
  </si>
  <si>
    <t>PUBG Continental Series 1: Asia</t>
  </si>
  <si>
    <t>PUBG Continental Series 2: Asia</t>
  </si>
  <si>
    <t>PUBG Continental Series 2: North America</t>
  </si>
  <si>
    <t>PUBG Continental Series 2: Europe</t>
  </si>
  <si>
    <t>PUBG Continental Series 2: Asia Pacific</t>
  </si>
  <si>
    <t>PUBG Continental Series 3: North America</t>
  </si>
  <si>
    <t>PUBG Continental Series 3: Asia</t>
  </si>
  <si>
    <t>PUBG Continental Series 3: Europe</t>
  </si>
  <si>
    <t>PUBG Continental Series 3: Asia Pacific</t>
  </si>
  <si>
    <t>PUBG Global Invitational.S 2021</t>
  </si>
  <si>
    <t>PUBG Continental Series 4: Americas</t>
  </si>
  <si>
    <t>PUBG Continental Series 4: Asia Pacific</t>
  </si>
  <si>
    <t>PUBG Continental Series 4: Asia</t>
  </si>
  <si>
    <t>PUBG Continental Series 4: Europe</t>
  </si>
  <si>
    <t>PUBG Continental Series 5: Asia Pacific</t>
  </si>
  <si>
    <t>PUBG Continental Series 5: Americas</t>
  </si>
  <si>
    <t>PUBG Continental Series 5: Asia</t>
  </si>
  <si>
    <t>PUBG Continental Series 5: Europe</t>
  </si>
  <si>
    <t>PUBG Continental Series 6: APAC</t>
    <phoneticPr fontId="1" type="noConversion"/>
  </si>
  <si>
    <t>PUBG Continental Series 6: Americas</t>
  </si>
  <si>
    <t>PUBG Continental Series 6: Asia</t>
  </si>
  <si>
    <t>PUBG Continental Series 6: Europe</t>
  </si>
  <si>
    <t>PUBG Continental Series 7: Americas</t>
  </si>
  <si>
    <t>PUBG Continental Series 7: Asia Pacific</t>
  </si>
  <si>
    <t>PUBG Continental Series 7: Asia</t>
  </si>
  <si>
    <t>PUBG Continental Series 7: Europe</t>
  </si>
  <si>
    <t>── 2023 ──</t>
  </si>
  <si>
    <t>Official</t>
    <phoneticPr fontId="1" type="noConversion"/>
  </si>
  <si>
    <t>Esports World Cup 2024</t>
  </si>
  <si>
    <t>N/A</t>
    <phoneticPr fontId="1" type="noConversion"/>
  </si>
  <si>
    <t>Esports World Cup 2025</t>
  </si>
  <si>
    <t>PUBG Players Masters Invitational</t>
    <phoneticPr fontId="1" type="noConversion"/>
  </si>
  <si>
    <t>── 2026 ──</t>
  </si>
  <si>
    <t>Escharts 기준</t>
  </si>
  <si>
    <t>Official</t>
  </si>
  <si>
    <t>PUBG Global Series Circuit 1</t>
  </si>
  <si>
    <t>PGS 1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</si>
  <si>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</si>
  <si>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</si>
  <si>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</si>
  <si>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</si>
  <si>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</si>
  <si>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</si>
  <si>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</si>
  <si>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</si>
  <si>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</si>
  <si>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</si>
  <si>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Group Stage</t>
  </si>
  <si>
    <t>Bracket Stage</t>
  </si>
  <si>
    <t>Grand Finals</t>
  </si>
  <si>
    <t>Language</t>
  </si>
  <si>
    <t>PCV</t>
  </si>
  <si>
    <t>ACCV</t>
  </si>
  <si>
    <t>VN</t>
  </si>
  <si>
    <t>TH</t>
  </si>
  <si>
    <t>KR</t>
  </si>
  <si>
    <t>EN</t>
  </si>
  <si>
    <t>RU</t>
  </si>
  <si>
    <t>PT</t>
  </si>
  <si>
    <t>Total</t>
  </si>
  <si>
    <t>글로벌 UV
(Official + Unofficial)</t>
    <phoneticPr fontId="1" type="noConversion"/>
  </si>
  <si>
    <t>중국 UV</t>
  </si>
  <si>
    <t>PGS 2</t>
  </si>
  <si>
    <t>Winners Bracket</t>
  </si>
  <si>
    <t>Losers Bracket</t>
  </si>
  <si>
    <t>PGS 3</t>
  </si>
  <si>
    <t>글로벌 UV</t>
  </si>
  <si>
    <t>PGS 4</t>
  </si>
  <si>
    <t>PGS 5</t>
  </si>
  <si>
    <t>Finals</t>
  </si>
  <si>
    <t>PGS 6</t>
  </si>
  <si>
    <t>PGS 7</t>
  </si>
  <si>
    <t>PGS 8</t>
  </si>
  <si>
    <t>PGS 9</t>
  </si>
  <si>
    <t>PGS 10</t>
  </si>
  <si>
    <t>PGS Circuit 1</t>
  </si>
  <si>
    <t>Day 11</t>
  </si>
  <si>
    <t>Day 12</t>
  </si>
  <si>
    <t>Day 13</t>
  </si>
  <si>
    <t>Day 14</t>
  </si>
  <si>
    <t>Winners Stage</t>
  </si>
  <si>
    <t>Survival Stage</t>
  </si>
  <si>
    <t>Final Stage, Day 1</t>
  </si>
  <si>
    <t>Final Stage, Day 2</t>
  </si>
  <si>
    <t>Prop Hunt Showdown</t>
  </si>
  <si>
    <t>Grand Finals, Day 1</t>
  </si>
  <si>
    <t>Grand Finals, Day 2</t>
  </si>
  <si>
    <t>Grand Finals, Day 3</t>
  </si>
  <si>
    <t>*글로벌 UV 데이터는 기본적으로 Official 채널 기준</t>
    <phoneticPr fontId="1" type="noConversion"/>
  </si>
  <si>
    <t>PNC 2019</t>
  </si>
  <si>
    <t>PNC 2022</t>
  </si>
  <si>
    <t>글로벌 UV
(Official)</t>
    <phoneticPr fontId="1" type="noConversion"/>
  </si>
  <si>
    <t>글로벌 UV
(Official+Unofficial)</t>
    <phoneticPr fontId="1" type="noConversion"/>
  </si>
  <si>
    <t>중국 UV</t>
    <phoneticPr fontId="1" type="noConversion"/>
  </si>
  <si>
    <t>PNC 2023</t>
  </si>
  <si>
    <t>PNC 2024</t>
  </si>
  <si>
    <t>PNC 2025</t>
  </si>
  <si>
    <t>Final Stage</t>
  </si>
  <si>
    <t>PGC 2019</t>
  </si>
  <si>
    <t>Semifinals</t>
  </si>
  <si>
    <t>PGC 2021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</si>
  <si>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</si>
  <si>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</si>
  <si>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</si>
  <si>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</si>
  <si>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</si>
  <si>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</si>
  <si>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</si>
  <si>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</si>
  <si>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</si>
  <si>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</si>
  <si>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Rank Decision</t>
  </si>
  <si>
    <t>Weekly Survival</t>
  </si>
  <si>
    <t>Weekly Finals</t>
  </si>
  <si>
    <t>Bottom 16</t>
  </si>
  <si>
    <t>Grand Survival</t>
  </si>
  <si>
    <t>글로벌 UV
(Official+Unofficial)</t>
  </si>
  <si>
    <t>PGC 2022</t>
  </si>
  <si>
    <t>Group A</t>
  </si>
  <si>
    <t>Group B</t>
  </si>
  <si>
    <t>Losers Bracket 1</t>
  </si>
  <si>
    <t>Losers Bracket 2</t>
  </si>
  <si>
    <t>PGC 2023</t>
  </si>
  <si>
    <t>Last Chance</t>
  </si>
  <si>
    <t>글로벌 UV
(Official)</t>
  </si>
  <si>
    <t>PGC 2024</t>
  </si>
  <si>
    <t>Circuit 1</t>
  </si>
  <si>
    <t>Circuit 2</t>
  </si>
  <si>
    <t>Circuit 3</t>
  </si>
  <si>
    <t>PGC 2025</t>
  </si>
  <si>
    <t>Erangel Subzero</t>
  </si>
  <si>
    <t>Last Stage</t>
  </si>
  <si>
    <t>PCS 1</t>
  </si>
  <si>
    <t>APAC</t>
  </si>
  <si>
    <t>Asia</t>
  </si>
  <si>
    <t>Europe</t>
  </si>
  <si>
    <t>NA</t>
  </si>
  <si>
    <t>평균 PCV</t>
  </si>
  <si>
    <t>글로벌 UV (평균)</t>
    <phoneticPr fontId="1" type="noConversion"/>
  </si>
  <si>
    <t>PCS 2</t>
  </si>
  <si>
    <t>PCS 3</t>
  </si>
  <si>
    <t>PCS 4: Americas</t>
  </si>
  <si>
    <t>BR</t>
  </si>
  <si>
    <t>ES</t>
  </si>
  <si>
    <t>PCS 4: Asia Pacific</t>
  </si>
  <si>
    <t>ID</t>
  </si>
  <si>
    <t>PCS 4: Asia</t>
  </si>
  <si>
    <t>TW</t>
  </si>
  <si>
    <t>JP</t>
  </si>
  <si>
    <t>PCS 4: Europe</t>
  </si>
  <si>
    <t>TR</t>
  </si>
  <si>
    <t>PCS 5: Asia Pacific</t>
  </si>
  <si>
    <t>PCS 5: Americas</t>
  </si>
  <si>
    <t>PCS 5: Asia</t>
  </si>
  <si>
    <t>PCS 5: Europe</t>
  </si>
  <si>
    <t>PCS 6: APAC</t>
  </si>
  <si>
    <t>PCS 6: Americas</t>
  </si>
  <si>
    <t>PCS 6: Asia</t>
  </si>
  <si>
    <t>PCS 6: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</si>
</sst>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m/d/yyyy"/>
    <numFmt numFmtId="178" formatCode="#,##0_);[Red]\(#,##0\)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b/>
      <i/>
      <sz val="11"/>
      <color theme="1"/>
      <name val="Noto Sans KR"/>
      <family val="3"/>
      <charset val="129"/>
    </font>
    <font>
      <sz val="11"/>
      <color rgb="FF000000"/>
      <name val="Noto Sans KR"/>
      <family val="3"/>
      <charset val="129"/>
    </font>
    <font>
      <b/>
      <sz val="11"/>
      <color rgb="FF000000"/>
      <name val="Noto Sans KR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rgb="FF0563C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1"/>
      <color rgb="FF000000"/>
      <name val="Noto Sans KR"/>
      <family val="3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AA520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6DCE4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/>
      <top style="thin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medium">
        <color rgb="FFFF0000"/>
      </right>
      <top/>
      <bottom/>
      <diagonal/>
    </border>
    <border>
      <left style="thin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1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176" fontId="4" fillId="3" borderId="3" xfId="0" applyNumberFormat="1" applyFont="1" applyFill="1" applyBorder="1">
      <alignment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176" fontId="3" fillId="4" borderId="3" xfId="0" applyNumberFormat="1" applyFont="1" applyFill="1" applyBorder="1">
      <alignment vertical="center"/>
    </xf>
    <xf numFmtId="1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5" xfId="0" applyFont="1" applyFill="1" applyBorder="1">
      <alignment vertical="center"/>
    </xf>
    <xf numFmtId="176" fontId="4" fillId="3" borderId="5" xfId="0" applyNumberFormat="1" applyFont="1" applyFill="1" applyBorder="1">
      <alignment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4" borderId="5" xfId="0" applyFont="1" applyFill="1" applyBorder="1">
      <alignment vertical="center"/>
    </xf>
    <xf numFmtId="176" fontId="3" fillId="4" borderId="5" xfId="0" applyNumberFormat="1" applyFont="1" applyFill="1" applyBorder="1">
      <alignment vertical="center"/>
    </xf>
    <xf numFmtId="176" fontId="4" fillId="3" borderId="6" xfId="0" applyNumberFormat="1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0" xfId="0" applyNumberFormat="1" applyFont="1">
      <alignment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6" fontId="6" fillId="5" borderId="8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/>
    </xf>
    <xf numFmtId="1" fontId="6" fillId="5" borderId="8" xfId="0" applyNumberFormat="1" applyFont="1" applyFill="1" applyBorder="1" applyAlignment="1">
      <alignment horizontal="center" vertical="center"/>
    </xf>
    <xf numFmtId="176" fontId="6" fillId="5" borderId="4" xfId="0" applyNumberFormat="1" applyFont="1" applyFill="1" applyBorder="1" applyAlignment="1">
      <alignment horizontal="center" vertical="center"/>
    </xf>
    <xf numFmtId="1" fontId="6" fillId="5" borderId="7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76" fontId="6" fillId="5" borderId="7" xfId="0" applyNumberFormat="1" applyFont="1" applyFill="1" applyBorder="1" applyAlignment="1">
      <alignment horizontal="center" vertical="center"/>
    </xf>
    <xf numFmtId="176" fontId="6" fillId="5" borderId="9" xfId="0" applyNumberFormat="1" applyFont="1" applyFill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176" fontId="7" fillId="3" borderId="8" xfId="0" applyNumberFormat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12" fillId="5" borderId="8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13" fillId="9" borderId="0" xfId="0" applyFont="1" applyFill="1">
      <alignment vertical="center"/>
    </xf>
    <xf numFmtId="0" fontId="13" fillId="9" borderId="13" xfId="0" applyFont="1" applyFill="1" applyBorder="1">
      <alignment vertical="center"/>
    </xf>
    <xf numFmtId="3" fontId="0" fillId="0" borderId="10" xfId="0" applyNumberFormat="1" applyBorder="1">
      <alignment vertical="center"/>
    </xf>
    <xf numFmtId="3" fontId="0" fillId="0" borderId="0" xfId="0" applyNumberFormat="1">
      <alignment vertical="center"/>
    </xf>
    <xf numFmtId="0" fontId="12" fillId="5" borderId="0" xfId="0" applyFont="1" applyFill="1">
      <alignment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16" fillId="5" borderId="10" xfId="0" applyNumberFormat="1" applyFont="1" applyFill="1" applyBorder="1">
      <alignment vertical="center"/>
    </xf>
    <xf numFmtId="3" fontId="16" fillId="5" borderId="0" xfId="0" applyNumberFormat="1" applyFont="1" applyFill="1">
      <alignment vertical="center"/>
    </xf>
    <xf numFmtId="0" fontId="15" fillId="6" borderId="10" xfId="0" applyFont="1" applyFill="1" applyBorder="1" applyAlignment="1">
      <alignment horizontal="center" vertical="center"/>
    </xf>
    <xf numFmtId="3" fontId="9" fillId="8" borderId="10" xfId="0" applyNumberFormat="1" applyFont="1" applyFill="1" applyBorder="1">
      <alignment vertical="center"/>
    </xf>
    <xf numFmtId="3" fontId="9" fillId="8" borderId="0" xfId="0" applyNumberFormat="1" applyFont="1" applyFill="1">
      <alignment vertical="center"/>
    </xf>
    <xf numFmtId="0" fontId="17" fillId="5" borderId="0" xfId="0" applyFont="1" applyFill="1">
      <alignment vertical="center"/>
    </xf>
    <xf numFmtId="0" fontId="9" fillId="8" borderId="0" xfId="0" applyFont="1" applyFill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3" fontId="8" fillId="10" borderId="27" xfId="0" applyNumberFormat="1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9" fillId="10" borderId="43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9" fillId="10" borderId="23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9" fillId="9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3" fontId="8" fillId="10" borderId="26" xfId="0" applyNumberFormat="1" applyFont="1" applyFill="1" applyBorder="1" applyAlignment="1">
      <alignment horizontal="center" vertical="center"/>
    </xf>
    <xf numFmtId="3" fontId="8" fillId="10" borderId="51" xfId="0" applyNumberFormat="1" applyFont="1" applyFill="1" applyBorder="1" applyAlignment="1">
      <alignment horizontal="center" vertical="center"/>
    </xf>
    <xf numFmtId="3" fontId="8" fillId="10" borderId="50" xfId="0" applyNumberFormat="1" applyFont="1" applyFill="1" applyBorder="1" applyAlignment="1">
      <alignment horizontal="center" vertical="center"/>
    </xf>
    <xf numFmtId="3" fontId="8" fillId="10" borderId="28" xfId="0" applyNumberFormat="1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3" fontId="8" fillId="8" borderId="12" xfId="0" applyNumberFormat="1" applyFont="1" applyFill="1" applyBorder="1" applyAlignment="1">
      <alignment horizontal="center" vertical="center"/>
    </xf>
    <xf numFmtId="3" fontId="8" fillId="8" borderId="29" xfId="0" applyNumberFormat="1" applyFont="1" applyFill="1" applyBorder="1" applyAlignment="1">
      <alignment horizontal="center" vertical="center"/>
    </xf>
    <xf numFmtId="3" fontId="8" fillId="10" borderId="42" xfId="0" applyNumberFormat="1" applyFont="1" applyFill="1" applyBorder="1" applyAlignment="1">
      <alignment horizontal="center" vertical="center"/>
    </xf>
    <xf numFmtId="3" fontId="8" fillId="10" borderId="38" xfId="0" applyNumberFormat="1" applyFont="1" applyFill="1" applyBorder="1" applyAlignment="1">
      <alignment horizontal="center" vertical="center"/>
    </xf>
    <xf numFmtId="3" fontId="8" fillId="10" borderId="40" xfId="0" applyNumberFormat="1" applyFont="1" applyFill="1" applyBorder="1" applyAlignment="1">
      <alignment horizontal="center" vertical="center"/>
    </xf>
    <xf numFmtId="3" fontId="8" fillId="10" borderId="41" xfId="0" applyNumberFormat="1" applyFont="1" applyFill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/>
    </xf>
    <xf numFmtId="3" fontId="8" fillId="8" borderId="11" xfId="0" applyNumberFormat="1" applyFont="1" applyFill="1" applyBorder="1" applyAlignment="1">
      <alignment horizontal="center" vertical="center"/>
    </xf>
    <xf numFmtId="3" fontId="8" fillId="8" borderId="54" xfId="0" applyNumberFormat="1" applyFont="1" applyFill="1" applyBorder="1" applyAlignment="1">
      <alignment horizontal="center" vertical="center"/>
    </xf>
    <xf numFmtId="3" fontId="8" fillId="8" borderId="55" xfId="0" applyNumberFormat="1" applyFont="1" applyFill="1" applyBorder="1" applyAlignment="1">
      <alignment horizontal="center" vertical="center"/>
    </xf>
    <xf numFmtId="3" fontId="8" fillId="8" borderId="56" xfId="0" applyNumberFormat="1" applyFont="1" applyFill="1" applyBorder="1" applyAlignment="1">
      <alignment horizontal="center" vertical="center"/>
    </xf>
    <xf numFmtId="0" fontId="8" fillId="10" borderId="43" xfId="0" applyFont="1" applyFill="1" applyBorder="1" applyAlignment="1">
      <alignment horizontal="center" vertical="center"/>
    </xf>
    <xf numFmtId="0" fontId="19" fillId="9" borderId="13" xfId="0" applyFont="1" applyFill="1" applyBorder="1">
      <alignment vertical="center"/>
    </xf>
    <xf numFmtId="3" fontId="8" fillId="10" borderId="31" xfId="0" applyNumberFormat="1" applyFont="1" applyFill="1" applyBorder="1" applyAlignment="1">
      <alignment horizontal="center" vertical="center"/>
    </xf>
    <xf numFmtId="3" fontId="8" fillId="10" borderId="35" xfId="0" applyNumberFormat="1" applyFont="1" applyFill="1" applyBorder="1" applyAlignment="1">
      <alignment horizontal="center" vertical="center"/>
    </xf>
    <xf numFmtId="3" fontId="8" fillId="10" borderId="37" xfId="0" applyNumberFormat="1" applyFont="1" applyFill="1" applyBorder="1" applyAlignment="1">
      <alignment horizontal="center" vertical="center"/>
    </xf>
    <xf numFmtId="3" fontId="8" fillId="10" borderId="33" xfId="0" applyNumberFormat="1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8" fillId="7" borderId="41" xfId="0" applyFont="1" applyFill="1" applyBorder="1" applyAlignment="1">
      <alignment horizontal="center" vertical="center"/>
    </xf>
    <xf numFmtId="0" fontId="8" fillId="7" borderId="40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3" fontId="8" fillId="10" borderId="39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3" fontId="16" fillId="5" borderId="17" xfId="0" applyNumberFormat="1" applyFont="1" applyFill="1" applyBorder="1">
      <alignment vertical="center"/>
    </xf>
    <xf numFmtId="0" fontId="9" fillId="0" borderId="0" xfId="0" applyFont="1">
      <alignment vertical="center"/>
    </xf>
    <xf numFmtId="176" fontId="20" fillId="3" borderId="8" xfId="0" applyNumberFormat="1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10" xfId="0" applyNumberFormat="1" applyFont="1" applyBorder="1">
      <alignment vertical="center"/>
    </xf>
    <xf numFmtId="0" fontId="8" fillId="7" borderId="16" xfId="0" applyFont="1" applyFill="1" applyBorder="1" applyAlignment="1">
      <alignment horizontal="center" vertical="center"/>
    </xf>
    <xf numFmtId="3" fontId="21" fillId="0" borderId="16" xfId="0" applyNumberFormat="1" applyFont="1" applyBorder="1">
      <alignment vertical="center"/>
    </xf>
    <xf numFmtId="3" fontId="8" fillId="8" borderId="10" xfId="0" applyNumberFormat="1" applyFont="1" applyFill="1" applyBorder="1">
      <alignment vertical="center"/>
    </xf>
    <xf numFmtId="3" fontId="8" fillId="8" borderId="0" xfId="0" applyNumberFormat="1" applyFont="1" applyFill="1">
      <alignment vertical="center"/>
    </xf>
    <xf numFmtId="3" fontId="21" fillId="0" borderId="0" xfId="0" applyNumberFormat="1" applyFont="1">
      <alignment vertical="center"/>
    </xf>
    <xf numFmtId="0" fontId="15" fillId="9" borderId="16" xfId="0" applyFont="1" applyFill="1" applyBorder="1" applyAlignment="1">
      <alignment horizontal="center" vertical="center"/>
    </xf>
    <xf numFmtId="178" fontId="8" fillId="10" borderId="20" xfId="0" applyNumberFormat="1" applyFont="1" applyFill="1" applyBorder="1" applyAlignment="1">
      <alignment horizontal="center" vertical="center"/>
    </xf>
    <xf numFmtId="178" fontId="8" fillId="10" borderId="21" xfId="0" applyNumberFormat="1" applyFont="1" applyFill="1" applyBorder="1" applyAlignment="1">
      <alignment horizontal="center" vertical="center"/>
    </xf>
    <xf numFmtId="178" fontId="21" fillId="10" borderId="20" xfId="0" applyNumberFormat="1" applyFont="1" applyFill="1" applyBorder="1" applyAlignment="1">
      <alignment horizontal="center" vertical="center"/>
    </xf>
    <xf numFmtId="178" fontId="21" fillId="10" borderId="21" xfId="0" applyNumberFormat="1" applyFont="1" applyFill="1" applyBorder="1" applyAlignment="1">
      <alignment horizontal="center" vertical="center"/>
    </xf>
    <xf numFmtId="14" fontId="14" fillId="6" borderId="14" xfId="0" applyNumberFormat="1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3" fontId="9" fillId="10" borderId="20" xfId="0" applyNumberFormat="1" applyFont="1" applyFill="1" applyBorder="1" applyAlignment="1">
      <alignment horizontal="center" vertical="center"/>
    </xf>
    <xf numFmtId="3" fontId="9" fillId="10" borderId="48" xfId="0" applyNumberFormat="1" applyFont="1" applyFill="1" applyBorder="1" applyAlignment="1">
      <alignment horizontal="center" vertical="center"/>
    </xf>
    <xf numFmtId="3" fontId="9" fillId="10" borderId="26" xfId="0" applyNumberFormat="1" applyFont="1" applyFill="1" applyBorder="1" applyAlignment="1">
      <alignment horizontal="center" vertical="center"/>
    </xf>
    <xf numFmtId="3" fontId="9" fillId="10" borderId="27" xfId="0" applyNumberFormat="1" applyFont="1" applyFill="1" applyBorder="1" applyAlignment="1">
      <alignment horizontal="center" vertical="center"/>
    </xf>
    <xf numFmtId="3" fontId="9" fillId="10" borderId="47" xfId="0" applyNumberFormat="1" applyFont="1" applyFill="1" applyBorder="1" applyAlignment="1">
      <alignment horizontal="center" vertical="center"/>
    </xf>
    <xf numFmtId="3" fontId="9" fillId="10" borderId="24" xfId="0" applyNumberFormat="1" applyFont="1" applyFill="1" applyBorder="1" applyAlignment="1">
      <alignment horizontal="center" vertical="center"/>
    </xf>
    <xf numFmtId="3" fontId="9" fillId="10" borderId="25" xfId="0" applyNumberFormat="1" applyFont="1" applyFill="1" applyBorder="1" applyAlignment="1">
      <alignment horizontal="center" vertical="center"/>
    </xf>
    <xf numFmtId="3" fontId="9" fillId="10" borderId="28" xfId="0" applyNumberFormat="1" applyFont="1" applyFill="1" applyBorder="1" applyAlignment="1">
      <alignment horizontal="center" vertical="center"/>
    </xf>
    <xf numFmtId="3" fontId="9" fillId="10" borderId="23" xfId="0" applyNumberFormat="1" applyFont="1" applyFill="1" applyBorder="1" applyAlignment="1">
      <alignment horizontal="center" vertical="center"/>
    </xf>
    <xf numFmtId="14" fontId="14" fillId="6" borderId="15" xfId="0" applyNumberFormat="1" applyFont="1" applyFill="1" applyBorder="1" applyAlignment="1">
      <alignment horizontal="center" vertical="center"/>
    </xf>
    <xf numFmtId="14" fontId="14" fillId="6" borderId="13" xfId="0" applyNumberFormat="1" applyFont="1" applyFill="1" applyBorder="1" applyAlignment="1">
      <alignment horizontal="center" vertical="center"/>
    </xf>
    <xf numFmtId="14" fontId="15" fillId="6" borderId="14" xfId="0" applyNumberFormat="1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3" fontId="9" fillId="10" borderId="21" xfId="0" applyNumberFormat="1" applyFont="1" applyFill="1" applyBorder="1" applyAlignment="1">
      <alignment horizontal="center" vertical="center"/>
    </xf>
    <xf numFmtId="177" fontId="15" fillId="6" borderId="14" xfId="0" applyNumberFormat="1" applyFont="1" applyFill="1" applyBorder="1" applyAlignment="1">
      <alignment horizontal="center" vertical="center"/>
    </xf>
    <xf numFmtId="177" fontId="15" fillId="6" borderId="15" xfId="0" applyNumberFormat="1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178" fontId="21" fillId="10" borderId="22" xfId="0" applyNumberFormat="1" applyFont="1" applyFill="1" applyBorder="1" applyAlignment="1">
      <alignment horizontal="center" vertical="center"/>
    </xf>
    <xf numFmtId="178" fontId="21" fillId="10" borderId="57" xfId="0" applyNumberFormat="1" applyFont="1" applyFill="1" applyBorder="1" applyAlignment="1">
      <alignment horizontal="center" vertical="center"/>
    </xf>
    <xf numFmtId="178" fontId="8" fillId="10" borderId="22" xfId="0" applyNumberFormat="1" applyFont="1" applyFill="1" applyBorder="1" applyAlignment="1">
      <alignment horizontal="center" vertical="center"/>
    </xf>
    <xf numFmtId="178" fontId="8" fillId="10" borderId="57" xfId="0" applyNumberFormat="1" applyFont="1" applyFill="1" applyBorder="1" applyAlignment="1">
      <alignment horizontal="center" vertical="center"/>
    </xf>
    <xf numFmtId="3" fontId="8" fillId="10" borderId="46" xfId="0" applyNumberFormat="1" applyFont="1" applyFill="1" applyBorder="1" applyAlignment="1">
      <alignment horizontal="center" vertical="center" wrapText="1"/>
    </xf>
    <xf numFmtId="3" fontId="8" fillId="10" borderId="45" xfId="0" applyNumberFormat="1" applyFont="1" applyFill="1" applyBorder="1" applyAlignment="1">
      <alignment horizontal="center" vertical="center" wrapText="1"/>
    </xf>
    <xf numFmtId="3" fontId="8" fillId="10" borderId="44" xfId="0" applyNumberFormat="1" applyFont="1" applyFill="1" applyBorder="1" applyAlignment="1">
      <alignment horizontal="center" vertical="center" wrapText="1"/>
    </xf>
    <xf numFmtId="3" fontId="8" fillId="10" borderId="18" xfId="0" applyNumberFormat="1" applyFont="1" applyFill="1" applyBorder="1" applyAlignment="1">
      <alignment horizontal="center" vertical="center" wrapText="1"/>
    </xf>
    <xf numFmtId="177" fontId="14" fillId="6" borderId="14" xfId="0" applyNumberFormat="1" applyFont="1" applyFill="1" applyBorder="1" applyAlignment="1">
      <alignment horizontal="center" vertical="center"/>
    </xf>
    <xf numFmtId="3" fontId="9" fillId="10" borderId="32" xfId="0" applyNumberFormat="1" applyFont="1" applyFill="1" applyBorder="1" applyAlignment="1">
      <alignment horizontal="center" vertical="center" wrapText="1"/>
    </xf>
    <xf numFmtId="3" fontId="9" fillId="10" borderId="33" xfId="0" applyNumberFormat="1" applyFont="1" applyFill="1" applyBorder="1" applyAlignment="1">
      <alignment horizontal="center" vertical="center" wrapText="1"/>
    </xf>
    <xf numFmtId="3" fontId="9" fillId="10" borderId="51" xfId="0" applyNumberFormat="1" applyFont="1" applyFill="1" applyBorder="1" applyAlignment="1">
      <alignment horizontal="center" vertical="center" wrapText="1"/>
    </xf>
    <xf numFmtId="3" fontId="9" fillId="10" borderId="50" xfId="0" applyNumberFormat="1" applyFont="1" applyFill="1" applyBorder="1" applyAlignment="1">
      <alignment horizontal="center" vertical="center" wrapText="1"/>
    </xf>
    <xf numFmtId="3" fontId="9" fillId="10" borderId="31" xfId="0" applyNumberFormat="1" applyFont="1" applyFill="1" applyBorder="1" applyAlignment="1">
      <alignment horizontal="center" vertical="center" wrapText="1"/>
    </xf>
    <xf numFmtId="3" fontId="9" fillId="10" borderId="22" xfId="0" applyNumberFormat="1" applyFont="1" applyFill="1" applyBorder="1" applyAlignment="1">
      <alignment horizontal="center" vertical="center" wrapText="1"/>
    </xf>
    <xf numFmtId="3" fontId="9" fillId="10" borderId="36" xfId="0" applyNumberFormat="1" applyFont="1" applyFill="1" applyBorder="1" applyAlignment="1">
      <alignment horizontal="center" vertical="center"/>
    </xf>
    <xf numFmtId="3" fontId="9" fillId="10" borderId="49" xfId="0" applyNumberFormat="1" applyFont="1" applyFill="1" applyBorder="1" applyAlignment="1">
      <alignment horizontal="center" vertical="center"/>
    </xf>
    <xf numFmtId="3" fontId="9" fillId="10" borderId="34" xfId="0" applyNumberFormat="1" applyFont="1" applyFill="1" applyBorder="1" applyAlignment="1">
      <alignment horizontal="center" vertical="center"/>
    </xf>
    <xf numFmtId="3" fontId="8" fillId="10" borderId="27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3" fontId="9" fillId="10" borderId="27" xfId="0" applyNumberFormat="1" applyFont="1" applyFill="1" applyBorder="1" applyAlignment="1">
      <alignment vertical="center"/>
    </xf>
    <xf numFmtId="3" fontId="9" fillId="10" borderId="28" xfId="0" applyNumberFormat="1" applyFont="1" applyFill="1" applyBorder="1" applyAlignment="1">
      <alignment vertical="center"/>
    </xf>
    <xf numFmtId="3" fontId="9" fillId="10" borderId="24" xfId="0" applyNumberFormat="1" applyFont="1" applyFill="1" applyBorder="1" applyAlignment="1">
      <alignment vertical="center"/>
    </xf>
    <xf numFmtId="3" fontId="9" fillId="10" borderId="25" xfId="0" applyNumberFormat="1" applyFont="1" applyFill="1" applyBorder="1" applyAlignment="1">
      <alignment vertical="center"/>
    </xf>
    <xf numFmtId="3" fontId="8" fillId="10" borderId="27" xfId="0" applyNumberFormat="1" applyFont="1" applyFill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BD1E1C-46F0-4ED3-B48E-AF4561EA852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1d4eff1-7e3c-4c71-b167-111164a45e5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6BFA-FAFA-490D-99DB-CB05F0758701}">
  <dimension ref="A1:D144"/>
  <sheetViews>
    <sheetView tabSelected="1" workbookViewId="0">
      <pane ySplit="1" topLeftCell="A11" activePane="bottomLeft" state="frozen"/>
      <selection pane="bottomLeft" activeCell="G46" sqref="G46"/>
    </sheetView>
  </sheetViews>
  <sheetFormatPr defaultColWidth="8.625" defaultRowHeight="18.600000000000001"/>
  <cols>
    <col min="1" max="1" width="8.375" style="3" customWidth="1"/>
    <col min="2" max="2" width="51.625" style="3" customWidth="1"/>
    <col min="3" max="3" width="30" style="3" customWidth="1"/>
    <col min="4" max="4" width="23.375" style="31" customWidth="1"/>
    <col min="5" max="16384" width="8.625" style="3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4">
        <v>2018</v>
      </c>
      <c r="B2" s="5" t="s">
        <v>4</v>
      </c>
      <c r="C2" s="6"/>
      <c r="D2" s="7"/>
    </row>
    <row r="3" spans="1:4">
      <c r="A3" s="8">
        <v>2018</v>
      </c>
      <c r="B3" s="9" t="s">
        <v>5</v>
      </c>
      <c r="C3" s="9" t="s">
        <v>6</v>
      </c>
      <c r="D3" s="10" t="s">
        <v>7</v>
      </c>
    </row>
    <row r="4" spans="1:4">
      <c r="A4" s="11">
        <v>2018</v>
      </c>
      <c r="B4" s="12" t="s">
        <v>8</v>
      </c>
      <c r="C4" s="12" t="s">
        <v>6</v>
      </c>
      <c r="D4" s="13">
        <v>20128</v>
      </c>
    </row>
    <row r="5" spans="1:4">
      <c r="A5" s="11">
        <v>2018</v>
      </c>
      <c r="B5" s="12" t="s">
        <v>9</v>
      </c>
      <c r="C5" s="12" t="s">
        <v>10</v>
      </c>
      <c r="D5" s="13">
        <v>123991</v>
      </c>
    </row>
    <row r="6" spans="1:4">
      <c r="A6" s="11">
        <v>2018</v>
      </c>
      <c r="B6" s="12" t="s">
        <v>11</v>
      </c>
      <c r="C6" s="12" t="s">
        <v>10</v>
      </c>
      <c r="D6" s="13">
        <v>3828</v>
      </c>
    </row>
    <row r="7" spans="1:4">
      <c r="A7" s="11">
        <v>2018</v>
      </c>
      <c r="B7" s="12" t="s">
        <v>12</v>
      </c>
      <c r="C7" s="12" t="s">
        <v>13</v>
      </c>
      <c r="D7" s="13">
        <v>13234</v>
      </c>
    </row>
    <row r="8" spans="1:4">
      <c r="A8" s="11">
        <v>2018</v>
      </c>
      <c r="B8" s="12" t="s">
        <v>14</v>
      </c>
      <c r="C8" s="12" t="s">
        <v>15</v>
      </c>
      <c r="D8" s="13" t="s">
        <v>7</v>
      </c>
    </row>
    <row r="9" spans="1:4">
      <c r="A9" s="11">
        <v>2018</v>
      </c>
      <c r="B9" s="12" t="s">
        <v>16</v>
      </c>
      <c r="C9" s="12" t="s">
        <v>15</v>
      </c>
      <c r="D9" s="13" t="s">
        <v>7</v>
      </c>
    </row>
    <row r="10" spans="1:4">
      <c r="A10" s="14">
        <v>2018</v>
      </c>
      <c r="B10" s="15" t="s">
        <v>17</v>
      </c>
      <c r="C10" s="15" t="s">
        <v>15</v>
      </c>
      <c r="D10" s="16" t="s">
        <v>7</v>
      </c>
    </row>
    <row r="11" spans="1:4">
      <c r="A11" s="17"/>
      <c r="B11" s="17"/>
      <c r="C11" s="17"/>
      <c r="D11" s="18"/>
    </row>
    <row r="12" spans="1:4">
      <c r="A12" s="19">
        <v>2019</v>
      </c>
      <c r="B12" s="20" t="s">
        <v>18</v>
      </c>
      <c r="C12" s="21"/>
      <c r="D12" s="22"/>
    </row>
    <row r="13" spans="1:4">
      <c r="A13" s="8">
        <v>2019</v>
      </c>
      <c r="B13" s="9" t="s">
        <v>19</v>
      </c>
      <c r="C13" s="9" t="s">
        <v>6</v>
      </c>
      <c r="D13" s="10">
        <v>31425</v>
      </c>
    </row>
    <row r="14" spans="1:4">
      <c r="A14" s="11">
        <v>2019</v>
      </c>
      <c r="B14" s="12" t="s">
        <v>20</v>
      </c>
      <c r="C14" s="12" t="s">
        <v>6</v>
      </c>
      <c r="D14" s="13">
        <v>16983</v>
      </c>
    </row>
    <row r="15" spans="1:4">
      <c r="A15" s="11">
        <v>2019</v>
      </c>
      <c r="B15" s="12" t="s">
        <v>21</v>
      </c>
      <c r="C15" s="12" t="s">
        <v>6</v>
      </c>
      <c r="D15" s="13">
        <v>25559</v>
      </c>
    </row>
    <row r="16" spans="1:4">
      <c r="A16" s="32">
        <v>2019</v>
      </c>
      <c r="B16" s="33" t="s">
        <v>22</v>
      </c>
      <c r="C16" s="33" t="s">
        <v>23</v>
      </c>
      <c r="D16" s="34">
        <v>4990000</v>
      </c>
    </row>
    <row r="17" spans="1:4">
      <c r="A17" s="32">
        <v>2019</v>
      </c>
      <c r="B17" s="33" t="s">
        <v>24</v>
      </c>
      <c r="C17" s="33" t="s">
        <v>23</v>
      </c>
      <c r="D17" s="34">
        <v>3900000</v>
      </c>
    </row>
    <row r="18" spans="1:4">
      <c r="A18" s="11">
        <v>2019</v>
      </c>
      <c r="B18" s="12" t="s">
        <v>25</v>
      </c>
      <c r="C18" s="12" t="s">
        <v>26</v>
      </c>
      <c r="D18" s="13">
        <v>21300</v>
      </c>
    </row>
    <row r="19" spans="1:4">
      <c r="A19" s="11">
        <v>2019</v>
      </c>
      <c r="B19" s="12" t="s">
        <v>27</v>
      </c>
      <c r="C19" s="12" t="s">
        <v>26</v>
      </c>
      <c r="D19" s="13">
        <v>32286</v>
      </c>
    </row>
    <row r="20" spans="1:4">
      <c r="A20" s="11">
        <v>2019</v>
      </c>
      <c r="B20" s="12" t="s">
        <v>28</v>
      </c>
      <c r="C20" s="12" t="s">
        <v>26</v>
      </c>
      <c r="D20" s="13">
        <v>8967</v>
      </c>
    </row>
    <row r="21" spans="1:4">
      <c r="A21" s="11">
        <v>2019</v>
      </c>
      <c r="B21" s="12" t="s">
        <v>29</v>
      </c>
      <c r="C21" s="12" t="s">
        <v>10</v>
      </c>
      <c r="D21" s="13">
        <v>81991</v>
      </c>
    </row>
    <row r="22" spans="1:4">
      <c r="A22" s="11">
        <v>2019</v>
      </c>
      <c r="B22" s="12" t="s">
        <v>30</v>
      </c>
      <c r="C22" s="12" t="s">
        <v>10</v>
      </c>
      <c r="D22" s="13">
        <v>118452</v>
      </c>
    </row>
    <row r="23" spans="1:4">
      <c r="A23" s="11">
        <v>2019</v>
      </c>
      <c r="B23" s="12" t="s">
        <v>31</v>
      </c>
      <c r="C23" s="12" t="s">
        <v>10</v>
      </c>
      <c r="D23" s="13">
        <v>92732</v>
      </c>
    </row>
    <row r="24" spans="1:4">
      <c r="A24" s="11">
        <v>2019</v>
      </c>
      <c r="B24" s="12" t="s">
        <v>32</v>
      </c>
      <c r="C24" s="12" t="s">
        <v>33</v>
      </c>
      <c r="D24" s="13">
        <v>1142</v>
      </c>
    </row>
    <row r="25" spans="1:4">
      <c r="A25" s="11">
        <v>2019</v>
      </c>
      <c r="B25" s="12" t="s">
        <v>34</v>
      </c>
      <c r="C25" s="12" t="s">
        <v>33</v>
      </c>
      <c r="D25" s="13">
        <v>1229</v>
      </c>
    </row>
    <row r="26" spans="1:4">
      <c r="A26" s="11">
        <v>2019</v>
      </c>
      <c r="B26" s="12" t="s">
        <v>35</v>
      </c>
      <c r="C26" s="12" t="s">
        <v>33</v>
      </c>
      <c r="D26" s="13">
        <v>1323</v>
      </c>
    </row>
    <row r="27" spans="1:4">
      <c r="A27" s="11">
        <v>2019</v>
      </c>
      <c r="B27" s="12" t="s">
        <v>36</v>
      </c>
      <c r="C27" s="12" t="s">
        <v>37</v>
      </c>
      <c r="D27" s="13">
        <v>7209</v>
      </c>
    </row>
    <row r="28" spans="1:4">
      <c r="A28" s="11">
        <v>2019</v>
      </c>
      <c r="B28" s="12" t="s">
        <v>38</v>
      </c>
      <c r="C28" s="12" t="s">
        <v>37</v>
      </c>
      <c r="D28" s="13">
        <v>7458</v>
      </c>
    </row>
    <row r="29" spans="1:4">
      <c r="A29" s="11">
        <v>2019</v>
      </c>
      <c r="B29" s="12" t="s">
        <v>39</v>
      </c>
      <c r="C29" s="12" t="s">
        <v>37</v>
      </c>
      <c r="D29" s="13">
        <v>12102</v>
      </c>
    </row>
    <row r="30" spans="1:4">
      <c r="A30" s="11">
        <v>2019</v>
      </c>
      <c r="B30" s="12" t="s">
        <v>40</v>
      </c>
      <c r="C30" s="12" t="s">
        <v>13</v>
      </c>
      <c r="D30" s="13">
        <v>14228</v>
      </c>
    </row>
    <row r="31" spans="1:4">
      <c r="A31" s="11">
        <v>2019</v>
      </c>
      <c r="B31" s="12" t="s">
        <v>41</v>
      </c>
      <c r="C31" s="12" t="s">
        <v>13</v>
      </c>
      <c r="D31" s="13">
        <v>10707</v>
      </c>
    </row>
    <row r="32" spans="1:4">
      <c r="A32" s="11">
        <v>2019</v>
      </c>
      <c r="B32" s="12" t="s">
        <v>42</v>
      </c>
      <c r="C32" s="12" t="s">
        <v>13</v>
      </c>
      <c r="D32" s="13">
        <v>31390</v>
      </c>
    </row>
    <row r="33" spans="1:4">
      <c r="A33" s="11">
        <v>2019</v>
      </c>
      <c r="B33" s="12" t="s">
        <v>43</v>
      </c>
      <c r="C33" s="12" t="s">
        <v>44</v>
      </c>
      <c r="D33" s="13">
        <v>10211</v>
      </c>
    </row>
    <row r="34" spans="1:4">
      <c r="A34" s="11">
        <v>2019</v>
      </c>
      <c r="B34" s="12" t="s">
        <v>45</v>
      </c>
      <c r="C34" s="12" t="s">
        <v>44</v>
      </c>
      <c r="D34" s="13">
        <v>4842</v>
      </c>
    </row>
    <row r="35" spans="1:4">
      <c r="A35" s="11">
        <v>2019</v>
      </c>
      <c r="B35" s="12" t="s">
        <v>46</v>
      </c>
      <c r="C35" s="12" t="s">
        <v>44</v>
      </c>
      <c r="D35" s="13">
        <v>2630</v>
      </c>
    </row>
    <row r="36" spans="1:4">
      <c r="A36" s="11">
        <v>2019</v>
      </c>
      <c r="B36" s="12" t="s">
        <v>47</v>
      </c>
      <c r="C36" s="12" t="s">
        <v>44</v>
      </c>
      <c r="D36" s="13">
        <v>3473</v>
      </c>
    </row>
    <row r="37" spans="1:4">
      <c r="A37" s="11">
        <v>2019</v>
      </c>
      <c r="B37" s="12" t="s">
        <v>48</v>
      </c>
      <c r="C37" s="12" t="s">
        <v>44</v>
      </c>
      <c r="D37" s="13">
        <v>3131</v>
      </c>
    </row>
    <row r="38" spans="1:4">
      <c r="A38" s="11">
        <v>2019</v>
      </c>
      <c r="B38" s="12" t="s">
        <v>49</v>
      </c>
      <c r="C38" s="12" t="s">
        <v>15</v>
      </c>
      <c r="D38" s="13">
        <v>51045</v>
      </c>
    </row>
    <row r="39" spans="1:4">
      <c r="A39" s="14">
        <v>2019</v>
      </c>
      <c r="B39" s="15" t="s">
        <v>50</v>
      </c>
      <c r="C39" s="15" t="s">
        <v>15</v>
      </c>
      <c r="D39" s="16">
        <v>35623</v>
      </c>
    </row>
    <row r="40" spans="1:4">
      <c r="A40" s="23">
        <v>2019</v>
      </c>
      <c r="B40" s="24" t="s">
        <v>51</v>
      </c>
      <c r="C40" s="24" t="s">
        <v>15</v>
      </c>
      <c r="D40" s="25">
        <v>28068</v>
      </c>
    </row>
    <row r="41" spans="1:4">
      <c r="A41" s="23">
        <v>2019</v>
      </c>
      <c r="B41" s="24" t="s">
        <v>52</v>
      </c>
      <c r="C41" s="24" t="s">
        <v>53</v>
      </c>
      <c r="D41" s="25">
        <v>48887</v>
      </c>
    </row>
    <row r="42" spans="1:4">
      <c r="A42" s="26"/>
      <c r="B42" s="26"/>
      <c r="C42" s="26"/>
      <c r="D42" s="27"/>
    </row>
    <row r="43" spans="1:4">
      <c r="A43" s="19">
        <v>2020</v>
      </c>
      <c r="B43" s="20" t="s">
        <v>54</v>
      </c>
      <c r="C43" s="21"/>
      <c r="D43" s="22"/>
    </row>
    <row r="44" spans="1:4">
      <c r="A44" s="35">
        <v>2020</v>
      </c>
      <c r="B44" s="36" t="s">
        <v>22</v>
      </c>
      <c r="C44" s="36" t="s">
        <v>55</v>
      </c>
      <c r="D44" s="37">
        <v>5920000</v>
      </c>
    </row>
    <row r="45" spans="1:4">
      <c r="A45" s="32">
        <v>2020</v>
      </c>
      <c r="B45" s="33" t="s">
        <v>24</v>
      </c>
      <c r="C45" s="33" t="s">
        <v>55</v>
      </c>
      <c r="D45" s="34">
        <v>5990000</v>
      </c>
    </row>
    <row r="46" spans="1:4">
      <c r="A46" s="32">
        <v>2020</v>
      </c>
      <c r="B46" s="33" t="s">
        <v>56</v>
      </c>
      <c r="C46" s="33" t="s">
        <v>55</v>
      </c>
      <c r="D46" s="34">
        <v>6770000</v>
      </c>
    </row>
    <row r="47" spans="1:4">
      <c r="A47" s="11">
        <v>2020</v>
      </c>
      <c r="B47" s="12" t="s">
        <v>57</v>
      </c>
      <c r="C47" s="12" t="s">
        <v>37</v>
      </c>
      <c r="D47" s="13">
        <v>8040</v>
      </c>
    </row>
    <row r="48" spans="1:4">
      <c r="A48" s="11">
        <v>2020</v>
      </c>
      <c r="B48" s="12" t="s">
        <v>58</v>
      </c>
      <c r="C48" s="12" t="s">
        <v>37</v>
      </c>
      <c r="D48" s="13">
        <v>5474</v>
      </c>
    </row>
    <row r="49" spans="1:4">
      <c r="A49" s="11">
        <v>2020</v>
      </c>
      <c r="B49" s="12" t="s">
        <v>59</v>
      </c>
      <c r="C49" s="12" t="s">
        <v>37</v>
      </c>
      <c r="D49" s="13">
        <v>5339</v>
      </c>
    </row>
    <row r="50" spans="1:4">
      <c r="A50" s="11">
        <v>2020</v>
      </c>
      <c r="B50" s="12" t="s">
        <v>60</v>
      </c>
      <c r="C50" s="12" t="s">
        <v>13</v>
      </c>
      <c r="D50" s="13">
        <v>22105</v>
      </c>
    </row>
    <row r="51" spans="1:4">
      <c r="A51" s="11">
        <v>2020</v>
      </c>
      <c r="B51" s="12" t="s">
        <v>61</v>
      </c>
      <c r="C51" s="12" t="s">
        <v>13</v>
      </c>
      <c r="D51" s="13">
        <v>27588</v>
      </c>
    </row>
    <row r="52" spans="1:4">
      <c r="A52" s="11">
        <v>2020</v>
      </c>
      <c r="B52" s="12" t="s">
        <v>62</v>
      </c>
      <c r="C52" s="12" t="s">
        <v>63</v>
      </c>
      <c r="D52" s="13">
        <v>47161</v>
      </c>
    </row>
    <row r="53" spans="1:4">
      <c r="A53" s="11">
        <v>2020</v>
      </c>
      <c r="B53" s="12" t="s">
        <v>64</v>
      </c>
      <c r="C53" s="12" t="s">
        <v>63</v>
      </c>
      <c r="D53" s="13">
        <v>89167</v>
      </c>
    </row>
    <row r="54" spans="1:4">
      <c r="A54" s="11">
        <v>2020</v>
      </c>
      <c r="B54" s="12" t="s">
        <v>65</v>
      </c>
      <c r="C54" s="12" t="s">
        <v>63</v>
      </c>
      <c r="D54" s="13">
        <v>82579</v>
      </c>
    </row>
    <row r="55" spans="1:4">
      <c r="A55" s="11">
        <v>2020</v>
      </c>
      <c r="B55" s="12" t="s">
        <v>66</v>
      </c>
      <c r="C55" s="12" t="s">
        <v>53</v>
      </c>
      <c r="D55" s="13">
        <v>56057</v>
      </c>
    </row>
    <row r="56" spans="1:4">
      <c r="A56" s="11">
        <v>2020</v>
      </c>
      <c r="B56" s="12" t="s">
        <v>67</v>
      </c>
      <c r="C56" s="12" t="s">
        <v>53</v>
      </c>
      <c r="D56" s="13">
        <v>20272</v>
      </c>
    </row>
    <row r="57" spans="1:4">
      <c r="A57" s="11">
        <v>2020</v>
      </c>
      <c r="B57" s="12" t="s">
        <v>68</v>
      </c>
      <c r="C57" s="12" t="s">
        <v>53</v>
      </c>
      <c r="D57" s="13">
        <v>39377</v>
      </c>
    </row>
    <row r="58" spans="1:4">
      <c r="A58" s="11">
        <v>2020</v>
      </c>
      <c r="B58" s="12" t="s">
        <v>69</v>
      </c>
      <c r="C58" s="12" t="s">
        <v>53</v>
      </c>
      <c r="D58" s="13">
        <v>25137</v>
      </c>
    </row>
    <row r="59" spans="1:4">
      <c r="A59" s="14">
        <v>2020</v>
      </c>
      <c r="B59" s="15" t="s">
        <v>70</v>
      </c>
      <c r="C59" s="15" t="s">
        <v>15</v>
      </c>
      <c r="D59" s="16" t="s">
        <v>7</v>
      </c>
    </row>
    <row r="60" spans="1:4">
      <c r="A60" s="17"/>
      <c r="B60" s="17"/>
      <c r="C60" s="17"/>
      <c r="D60" s="18"/>
    </row>
    <row r="61" spans="1:4">
      <c r="A61" s="19">
        <v>2021</v>
      </c>
      <c r="B61" s="20" t="s">
        <v>71</v>
      </c>
      <c r="C61" s="21"/>
      <c r="D61" s="22"/>
    </row>
    <row r="62" spans="1:4">
      <c r="A62" s="8">
        <v>2021</v>
      </c>
      <c r="B62" s="9" t="s">
        <v>72</v>
      </c>
      <c r="C62" s="30" t="s">
        <v>73</v>
      </c>
      <c r="D62" s="10">
        <v>31478</v>
      </c>
    </row>
    <row r="63" spans="1:4">
      <c r="A63" s="11">
        <v>2021</v>
      </c>
      <c r="B63" s="12" t="s">
        <v>74</v>
      </c>
      <c r="C63" s="30" t="s">
        <v>73</v>
      </c>
      <c r="D63" s="13">
        <v>38951</v>
      </c>
    </row>
    <row r="64" spans="1:4">
      <c r="A64" s="32">
        <v>2021</v>
      </c>
      <c r="B64" s="33" t="s">
        <v>22</v>
      </c>
      <c r="C64" s="30" t="s">
        <v>73</v>
      </c>
      <c r="D64" s="34" t="s">
        <v>7</v>
      </c>
    </row>
    <row r="65" spans="1:4">
      <c r="A65" s="32">
        <v>2021</v>
      </c>
      <c r="B65" s="33" t="s">
        <v>24</v>
      </c>
      <c r="C65" s="33" t="s">
        <v>55</v>
      </c>
      <c r="D65" s="34" t="s">
        <v>7</v>
      </c>
    </row>
    <row r="66" spans="1:4">
      <c r="A66" s="11">
        <v>2021</v>
      </c>
      <c r="B66" s="12" t="s">
        <v>75</v>
      </c>
      <c r="C66" s="12" t="s">
        <v>63</v>
      </c>
      <c r="D66" s="13">
        <v>86529</v>
      </c>
    </row>
    <row r="67" spans="1:4">
      <c r="A67" s="11">
        <v>2021</v>
      </c>
      <c r="B67" s="12" t="s">
        <v>76</v>
      </c>
      <c r="C67" s="12" t="s">
        <v>63</v>
      </c>
      <c r="D67" s="13">
        <v>95447</v>
      </c>
    </row>
    <row r="68" spans="1:4">
      <c r="A68" s="11">
        <v>2021</v>
      </c>
      <c r="B68" s="12" t="s">
        <v>66</v>
      </c>
      <c r="C68" s="12" t="s">
        <v>53</v>
      </c>
      <c r="D68" s="13">
        <v>21924</v>
      </c>
    </row>
    <row r="69" spans="1:4">
      <c r="A69" s="11">
        <v>2021</v>
      </c>
      <c r="B69" s="12" t="s">
        <v>67</v>
      </c>
      <c r="C69" s="12" t="s">
        <v>53</v>
      </c>
      <c r="D69" s="13">
        <v>56002</v>
      </c>
    </row>
    <row r="70" spans="1:4">
      <c r="A70" s="11">
        <v>2021</v>
      </c>
      <c r="B70" s="12" t="s">
        <v>77</v>
      </c>
      <c r="C70" s="12" t="s">
        <v>78</v>
      </c>
      <c r="D70" s="13">
        <v>728</v>
      </c>
    </row>
    <row r="71" spans="1:4">
      <c r="A71" s="11">
        <v>2021</v>
      </c>
      <c r="B71" s="12" t="s">
        <v>79</v>
      </c>
      <c r="C71" s="12" t="s">
        <v>78</v>
      </c>
      <c r="D71" s="13">
        <v>606</v>
      </c>
    </row>
    <row r="72" spans="1:4">
      <c r="A72" s="11">
        <v>2021</v>
      </c>
      <c r="B72" s="12" t="s">
        <v>80</v>
      </c>
      <c r="C72" s="12" t="s">
        <v>81</v>
      </c>
      <c r="D72" s="13">
        <v>11932</v>
      </c>
    </row>
    <row r="73" spans="1:4">
      <c r="A73" s="17"/>
      <c r="B73" s="17"/>
      <c r="C73" s="17"/>
      <c r="D73" s="18"/>
    </row>
    <row r="74" spans="1:4">
      <c r="A74" s="19">
        <v>2022</v>
      </c>
      <c r="B74" s="20" t="s">
        <v>82</v>
      </c>
      <c r="C74" s="21"/>
      <c r="D74" s="28"/>
    </row>
    <row r="75" spans="1:4">
      <c r="A75" s="8">
        <v>2022</v>
      </c>
      <c r="B75" s="9" t="s">
        <v>72</v>
      </c>
      <c r="C75" s="29" t="s">
        <v>73</v>
      </c>
      <c r="D75" s="25">
        <v>17888</v>
      </c>
    </row>
    <row r="76" spans="1:4">
      <c r="A76" s="11">
        <v>2022</v>
      </c>
      <c r="B76" s="12" t="s">
        <v>74</v>
      </c>
      <c r="C76" s="30" t="s">
        <v>73</v>
      </c>
      <c r="D76" s="25">
        <v>23567</v>
      </c>
    </row>
    <row r="77" spans="1:4">
      <c r="A77" s="32">
        <v>2022</v>
      </c>
      <c r="B77" s="33" t="s">
        <v>22</v>
      </c>
      <c r="C77" s="38" t="s">
        <v>23</v>
      </c>
      <c r="D77" s="39" t="s">
        <v>7</v>
      </c>
    </row>
    <row r="78" spans="1:4">
      <c r="A78" s="32">
        <v>2022</v>
      </c>
      <c r="B78" s="33" t="s">
        <v>24</v>
      </c>
      <c r="C78" s="38" t="s">
        <v>23</v>
      </c>
      <c r="D78" s="39" t="s">
        <v>7</v>
      </c>
    </row>
    <row r="79" spans="1:4">
      <c r="A79" s="11">
        <v>2022</v>
      </c>
      <c r="B79" s="12" t="s">
        <v>75</v>
      </c>
      <c r="C79" s="12" t="s">
        <v>63</v>
      </c>
      <c r="D79" s="10">
        <v>111243</v>
      </c>
    </row>
    <row r="80" spans="1:4">
      <c r="A80" s="11">
        <v>2022</v>
      </c>
      <c r="B80" s="12" t="s">
        <v>76</v>
      </c>
      <c r="C80" s="12" t="s">
        <v>63</v>
      </c>
      <c r="D80" s="13">
        <v>88606</v>
      </c>
    </row>
    <row r="81" spans="1:4">
      <c r="A81" s="11">
        <v>2022</v>
      </c>
      <c r="B81" s="12" t="s">
        <v>66</v>
      </c>
      <c r="C81" s="12" t="s">
        <v>53</v>
      </c>
      <c r="D81" s="13">
        <v>27974</v>
      </c>
    </row>
    <row r="82" spans="1:4">
      <c r="A82" s="11">
        <v>2022</v>
      </c>
      <c r="B82" s="12" t="s">
        <v>68</v>
      </c>
      <c r="C82" s="12" t="s">
        <v>53</v>
      </c>
      <c r="D82" s="13">
        <v>1727</v>
      </c>
    </row>
    <row r="83" spans="1:4">
      <c r="A83" s="11">
        <v>2022</v>
      </c>
      <c r="B83" s="12" t="s">
        <v>83</v>
      </c>
      <c r="C83" s="12" t="s">
        <v>78</v>
      </c>
      <c r="D83" s="13">
        <v>893</v>
      </c>
    </row>
    <row r="84" spans="1:4">
      <c r="A84" s="11">
        <v>2022</v>
      </c>
      <c r="B84" s="12" t="s">
        <v>84</v>
      </c>
      <c r="C84" s="12" t="s">
        <v>78</v>
      </c>
      <c r="D84" s="13">
        <v>759</v>
      </c>
    </row>
    <row r="85" spans="1:4">
      <c r="A85" s="11">
        <v>2022</v>
      </c>
      <c r="B85" s="12" t="s">
        <v>85</v>
      </c>
      <c r="C85" s="12" t="s">
        <v>15</v>
      </c>
      <c r="D85" s="13">
        <v>22735</v>
      </c>
    </row>
    <row r="86" spans="1:4">
      <c r="A86" s="11">
        <v>2022</v>
      </c>
      <c r="B86" s="12" t="s">
        <v>86</v>
      </c>
      <c r="C86" s="12" t="s">
        <v>15</v>
      </c>
      <c r="D86" s="13">
        <v>21499</v>
      </c>
    </row>
    <row r="87" spans="1:4">
      <c r="A87" s="11">
        <v>2022</v>
      </c>
      <c r="B87" s="12" t="s">
        <v>87</v>
      </c>
      <c r="C87" s="12" t="s">
        <v>81</v>
      </c>
      <c r="D87" s="13">
        <v>17754</v>
      </c>
    </row>
    <row r="88" spans="1:4">
      <c r="A88" s="17"/>
      <c r="B88" s="17"/>
      <c r="C88" s="17"/>
      <c r="D88" s="18"/>
    </row>
    <row r="89" spans="1:4">
      <c r="A89" s="19">
        <v>2023</v>
      </c>
      <c r="B89" s="20" t="s">
        <v>88</v>
      </c>
      <c r="C89" s="21"/>
      <c r="D89" s="22"/>
    </row>
    <row r="90" spans="1:4">
      <c r="A90" s="8">
        <v>2023</v>
      </c>
      <c r="B90" s="9" t="s">
        <v>89</v>
      </c>
      <c r="C90" s="9" t="s">
        <v>6</v>
      </c>
      <c r="D90" s="10">
        <v>18612</v>
      </c>
    </row>
    <row r="91" spans="1:4">
      <c r="A91" s="11">
        <v>2023</v>
      </c>
      <c r="B91" s="12" t="s">
        <v>90</v>
      </c>
      <c r="C91" s="12" t="s">
        <v>6</v>
      </c>
      <c r="D91" s="13">
        <v>21512</v>
      </c>
    </row>
    <row r="92" spans="1:4">
      <c r="A92" s="32">
        <v>2023</v>
      </c>
      <c r="B92" s="33" t="s">
        <v>22</v>
      </c>
      <c r="C92" s="33" t="s">
        <v>23</v>
      </c>
      <c r="D92" s="34" t="s">
        <v>7</v>
      </c>
    </row>
    <row r="93" spans="1:4">
      <c r="A93" s="32">
        <v>2023</v>
      </c>
      <c r="B93" s="33" t="s">
        <v>24</v>
      </c>
      <c r="C93" s="33" t="s">
        <v>23</v>
      </c>
      <c r="D93" s="34" t="s">
        <v>7</v>
      </c>
    </row>
    <row r="94" spans="1:4">
      <c r="A94" s="11">
        <v>2023</v>
      </c>
      <c r="B94" s="12" t="s">
        <v>77</v>
      </c>
      <c r="C94" s="12" t="s">
        <v>78</v>
      </c>
      <c r="D94" s="13">
        <v>1797</v>
      </c>
    </row>
    <row r="95" spans="1:4">
      <c r="A95" s="11">
        <v>2023</v>
      </c>
      <c r="B95" s="12" t="s">
        <v>79</v>
      </c>
      <c r="C95" s="12" t="s">
        <v>78</v>
      </c>
      <c r="D95" s="13">
        <v>5251</v>
      </c>
    </row>
    <row r="96" spans="1:4">
      <c r="A96" s="11">
        <v>2023</v>
      </c>
      <c r="B96" s="12" t="s">
        <v>91</v>
      </c>
      <c r="C96" s="12" t="s">
        <v>92</v>
      </c>
      <c r="D96" s="13">
        <v>44098</v>
      </c>
    </row>
    <row r="97" spans="1:4">
      <c r="A97" s="11">
        <v>2023</v>
      </c>
      <c r="B97" s="12" t="s">
        <v>93</v>
      </c>
      <c r="C97" s="12" t="s">
        <v>94</v>
      </c>
      <c r="D97" s="13">
        <v>27045</v>
      </c>
    </row>
    <row r="98" spans="1:4">
      <c r="A98" s="11">
        <v>2023</v>
      </c>
      <c r="B98" s="12" t="s">
        <v>95</v>
      </c>
      <c r="C98" s="12" t="s">
        <v>96</v>
      </c>
      <c r="D98" s="13">
        <v>19155</v>
      </c>
    </row>
    <row r="99" spans="1:4">
      <c r="A99" s="11">
        <v>2023</v>
      </c>
      <c r="B99" s="12" t="s">
        <v>97</v>
      </c>
      <c r="C99" s="12" t="s">
        <v>96</v>
      </c>
      <c r="D99" s="13">
        <v>26757</v>
      </c>
    </row>
    <row r="100" spans="1:4">
      <c r="A100" s="11">
        <v>2023</v>
      </c>
      <c r="B100" s="12" t="s">
        <v>98</v>
      </c>
      <c r="C100" s="12" t="s">
        <v>99</v>
      </c>
      <c r="D100" s="13">
        <v>25437</v>
      </c>
    </row>
    <row r="101" spans="1:4">
      <c r="A101" s="11">
        <v>2023</v>
      </c>
      <c r="B101" s="12" t="s">
        <v>100</v>
      </c>
      <c r="C101" s="12" t="s">
        <v>99</v>
      </c>
      <c r="D101" s="13">
        <v>44060</v>
      </c>
    </row>
    <row r="102" spans="1:4">
      <c r="A102" s="11">
        <v>2023</v>
      </c>
      <c r="B102" s="12" t="s">
        <v>62</v>
      </c>
      <c r="C102" s="12" t="s">
        <v>101</v>
      </c>
      <c r="D102" s="13">
        <v>41635</v>
      </c>
    </row>
    <row r="103" spans="1:4">
      <c r="A103" s="11">
        <v>2023</v>
      </c>
      <c r="B103" s="12" t="s">
        <v>64</v>
      </c>
      <c r="C103" s="12" t="s">
        <v>101</v>
      </c>
      <c r="D103" s="13">
        <v>41406</v>
      </c>
    </row>
    <row r="104" spans="1:4">
      <c r="A104" s="11">
        <v>2023</v>
      </c>
      <c r="B104" s="12" t="s">
        <v>36</v>
      </c>
      <c r="C104" s="12" t="s">
        <v>37</v>
      </c>
      <c r="D104" s="13">
        <v>4534</v>
      </c>
    </row>
    <row r="105" spans="1:4">
      <c r="A105" s="14">
        <v>2023</v>
      </c>
      <c r="B105" s="15" t="s">
        <v>38</v>
      </c>
      <c r="C105" s="15" t="s">
        <v>37</v>
      </c>
      <c r="D105" s="16">
        <v>2997</v>
      </c>
    </row>
    <row r="106" spans="1:4">
      <c r="A106" s="17"/>
      <c r="B106" s="17"/>
      <c r="C106" s="17"/>
      <c r="D106" s="18"/>
    </row>
    <row r="107" spans="1:4">
      <c r="A107" s="19">
        <v>2024</v>
      </c>
      <c r="B107" s="20" t="s">
        <v>102</v>
      </c>
      <c r="C107" s="21"/>
      <c r="D107" s="22"/>
    </row>
    <row r="108" spans="1:4">
      <c r="A108" s="8">
        <v>2024</v>
      </c>
      <c r="B108" s="9" t="s">
        <v>89</v>
      </c>
      <c r="C108" s="9" t="s">
        <v>6</v>
      </c>
      <c r="D108" s="10">
        <v>18485</v>
      </c>
    </row>
    <row r="109" spans="1:4">
      <c r="A109" s="11">
        <v>2024</v>
      </c>
      <c r="B109" s="12" t="s">
        <v>90</v>
      </c>
      <c r="C109" s="12" t="s">
        <v>6</v>
      </c>
      <c r="D109" s="13">
        <v>14212</v>
      </c>
    </row>
    <row r="110" spans="1:4">
      <c r="A110" s="32">
        <v>2024</v>
      </c>
      <c r="B110" s="33" t="s">
        <v>22</v>
      </c>
      <c r="C110" s="33" t="s">
        <v>23</v>
      </c>
      <c r="D110" s="34" t="s">
        <v>7</v>
      </c>
    </row>
    <row r="111" spans="1:4">
      <c r="A111" s="32">
        <v>2024</v>
      </c>
      <c r="B111" s="33" t="s">
        <v>103</v>
      </c>
      <c r="C111" s="33" t="s">
        <v>23</v>
      </c>
      <c r="D111" s="34" t="s">
        <v>7</v>
      </c>
    </row>
    <row r="112" spans="1:4">
      <c r="A112" s="11">
        <v>2024</v>
      </c>
      <c r="B112" s="12" t="s">
        <v>77</v>
      </c>
      <c r="C112" s="12" t="s">
        <v>78</v>
      </c>
      <c r="D112" s="13">
        <v>6277</v>
      </c>
    </row>
    <row r="113" spans="1:4">
      <c r="A113" s="11">
        <v>2024</v>
      </c>
      <c r="B113" s="12" t="s">
        <v>91</v>
      </c>
      <c r="C113" s="12" t="s">
        <v>94</v>
      </c>
      <c r="D113" s="13">
        <v>34892</v>
      </c>
    </row>
    <row r="114" spans="1:4">
      <c r="A114" s="11">
        <v>2024</v>
      </c>
      <c r="B114" s="12" t="s">
        <v>93</v>
      </c>
      <c r="C114" s="12" t="s">
        <v>94</v>
      </c>
      <c r="D114" s="13">
        <v>42248</v>
      </c>
    </row>
    <row r="115" spans="1:4">
      <c r="A115" s="11">
        <v>2024</v>
      </c>
      <c r="B115" s="12" t="s">
        <v>104</v>
      </c>
      <c r="C115" s="12" t="s">
        <v>96</v>
      </c>
      <c r="D115" s="13">
        <v>30941</v>
      </c>
    </row>
    <row r="116" spans="1:4">
      <c r="A116" s="11">
        <v>2024</v>
      </c>
      <c r="B116" s="12" t="s">
        <v>105</v>
      </c>
      <c r="C116" s="12" t="s">
        <v>96</v>
      </c>
      <c r="D116" s="13">
        <v>24331</v>
      </c>
    </row>
    <row r="117" spans="1:4">
      <c r="A117" s="11">
        <v>2024</v>
      </c>
      <c r="B117" s="12" t="s">
        <v>106</v>
      </c>
      <c r="C117" s="12" t="s">
        <v>78</v>
      </c>
      <c r="D117" s="13">
        <v>67068</v>
      </c>
    </row>
    <row r="118" spans="1:4">
      <c r="A118" s="11">
        <v>2024</v>
      </c>
      <c r="B118" s="12" t="s">
        <v>107</v>
      </c>
      <c r="C118" s="12" t="s">
        <v>78</v>
      </c>
      <c r="D118" s="13">
        <v>108331</v>
      </c>
    </row>
    <row r="119" spans="1:4">
      <c r="A119" s="11">
        <v>2024</v>
      </c>
      <c r="B119" s="12" t="s">
        <v>108</v>
      </c>
      <c r="C119" s="12" t="s">
        <v>99</v>
      </c>
      <c r="D119" s="13">
        <v>29948</v>
      </c>
    </row>
    <row r="120" spans="1:4">
      <c r="A120" s="11">
        <v>2024</v>
      </c>
      <c r="B120" s="12" t="s">
        <v>109</v>
      </c>
      <c r="C120" s="12" t="s">
        <v>99</v>
      </c>
      <c r="D120" s="13">
        <v>62482</v>
      </c>
    </row>
    <row r="121" spans="1:4">
      <c r="A121" s="11">
        <v>2024</v>
      </c>
      <c r="B121" s="12" t="s">
        <v>62</v>
      </c>
      <c r="C121" s="12" t="s">
        <v>101</v>
      </c>
      <c r="D121" s="13">
        <v>22029</v>
      </c>
    </row>
    <row r="122" spans="1:4">
      <c r="A122" s="11">
        <v>2024</v>
      </c>
      <c r="B122" s="12" t="s">
        <v>64</v>
      </c>
      <c r="C122" s="12" t="s">
        <v>101</v>
      </c>
      <c r="D122" s="13">
        <v>25963</v>
      </c>
    </row>
    <row r="123" spans="1:4">
      <c r="A123" s="11">
        <v>2024</v>
      </c>
      <c r="B123" s="12" t="s">
        <v>110</v>
      </c>
      <c r="C123" s="12" t="s">
        <v>37</v>
      </c>
      <c r="D123" s="13">
        <v>3308</v>
      </c>
    </row>
    <row r="124" spans="1:4">
      <c r="A124" s="14">
        <v>2024</v>
      </c>
      <c r="B124" s="15" t="s">
        <v>111</v>
      </c>
      <c r="C124" s="15" t="s">
        <v>37</v>
      </c>
      <c r="D124" s="16">
        <v>10443</v>
      </c>
    </row>
    <row r="125" spans="1:4">
      <c r="A125" s="17"/>
      <c r="B125" s="17"/>
      <c r="C125" s="17"/>
      <c r="D125" s="18"/>
    </row>
    <row r="126" spans="1:4">
      <c r="A126" s="19">
        <v>2025</v>
      </c>
      <c r="B126" s="20" t="s">
        <v>112</v>
      </c>
      <c r="C126" s="21"/>
      <c r="D126" s="22"/>
    </row>
    <row r="127" spans="1:4">
      <c r="A127" s="8">
        <v>2025</v>
      </c>
      <c r="B127" s="9" t="s">
        <v>113</v>
      </c>
      <c r="C127" s="9" t="s">
        <v>6</v>
      </c>
      <c r="D127" s="10">
        <v>45281</v>
      </c>
    </row>
    <row r="128" spans="1:4">
      <c r="A128" s="11">
        <v>2025</v>
      </c>
      <c r="B128" s="12" t="s">
        <v>114</v>
      </c>
      <c r="C128" s="12" t="s">
        <v>6</v>
      </c>
      <c r="D128" s="13">
        <v>38985</v>
      </c>
    </row>
    <row r="129" spans="1:4">
      <c r="A129" s="32">
        <v>2025</v>
      </c>
      <c r="B129" s="33" t="s">
        <v>22</v>
      </c>
      <c r="C129" s="33" t="s">
        <v>23</v>
      </c>
      <c r="D129" s="34">
        <v>7180046</v>
      </c>
    </row>
    <row r="130" spans="1:4">
      <c r="A130" s="32">
        <v>2025</v>
      </c>
      <c r="B130" s="33" t="s">
        <v>103</v>
      </c>
      <c r="C130" s="33" t="s">
        <v>23</v>
      </c>
      <c r="D130" s="34">
        <v>6665144</v>
      </c>
    </row>
    <row r="131" spans="1:4">
      <c r="A131" s="11">
        <v>2025</v>
      </c>
      <c r="B131" s="12" t="s">
        <v>91</v>
      </c>
      <c r="C131" s="12" t="s">
        <v>94</v>
      </c>
      <c r="D131" s="13">
        <v>51649</v>
      </c>
    </row>
    <row r="132" spans="1:4">
      <c r="A132" s="11">
        <v>2025</v>
      </c>
      <c r="B132" s="12" t="s">
        <v>93</v>
      </c>
      <c r="C132" s="12" t="s">
        <v>94</v>
      </c>
      <c r="D132" s="13">
        <v>92810</v>
      </c>
    </row>
    <row r="133" spans="1:4">
      <c r="A133" s="11">
        <v>2025</v>
      </c>
      <c r="B133" s="12" t="s">
        <v>115</v>
      </c>
      <c r="C133" s="12" t="s">
        <v>96</v>
      </c>
      <c r="D133" s="13">
        <v>35755</v>
      </c>
    </row>
    <row r="134" spans="1:4">
      <c r="A134" s="11">
        <v>2025</v>
      </c>
      <c r="B134" s="12" t="s">
        <v>116</v>
      </c>
      <c r="C134" s="12" t="s">
        <v>96</v>
      </c>
      <c r="D134" s="13">
        <v>24895</v>
      </c>
    </row>
    <row r="135" spans="1:4">
      <c r="A135" s="11">
        <v>2025</v>
      </c>
      <c r="B135" s="12" t="s">
        <v>106</v>
      </c>
      <c r="C135" s="12" t="s">
        <v>78</v>
      </c>
      <c r="D135" s="13">
        <v>105638</v>
      </c>
    </row>
    <row r="136" spans="1:4">
      <c r="A136" s="11">
        <v>2025</v>
      </c>
      <c r="B136" s="12" t="s">
        <v>107</v>
      </c>
      <c r="C136" s="12" t="s">
        <v>78</v>
      </c>
      <c r="D136" s="13">
        <v>93317</v>
      </c>
    </row>
    <row r="137" spans="1:4">
      <c r="A137" s="11">
        <v>2025</v>
      </c>
      <c r="B137" s="12" t="s">
        <v>98</v>
      </c>
      <c r="C137" s="12" t="s">
        <v>99</v>
      </c>
      <c r="D137" s="13">
        <v>78480</v>
      </c>
    </row>
    <row r="138" spans="1:4">
      <c r="A138" s="11">
        <v>2025</v>
      </c>
      <c r="B138" s="12" t="s">
        <v>100</v>
      </c>
      <c r="C138" s="12" t="s">
        <v>99</v>
      </c>
      <c r="D138" s="13">
        <v>88505</v>
      </c>
    </row>
    <row r="139" spans="1:4">
      <c r="A139" s="11">
        <v>2025</v>
      </c>
      <c r="B139" s="12" t="s">
        <v>62</v>
      </c>
      <c r="C139" s="12" t="s">
        <v>101</v>
      </c>
      <c r="D139" s="13">
        <v>16466</v>
      </c>
    </row>
    <row r="140" spans="1:4">
      <c r="A140" s="11">
        <v>2025</v>
      </c>
      <c r="B140" s="12" t="s">
        <v>64</v>
      </c>
      <c r="C140" s="12" t="s">
        <v>101</v>
      </c>
      <c r="D140" s="13">
        <v>16288</v>
      </c>
    </row>
    <row r="141" spans="1:4">
      <c r="A141" s="11">
        <v>2025</v>
      </c>
      <c r="B141" s="12" t="s">
        <v>110</v>
      </c>
      <c r="C141" s="12" t="s">
        <v>37</v>
      </c>
      <c r="D141" s="13">
        <v>8578</v>
      </c>
    </row>
    <row r="142" spans="1:4">
      <c r="A142" s="11">
        <v>2025</v>
      </c>
      <c r="B142" s="12" t="s">
        <v>111</v>
      </c>
      <c r="C142" s="12" t="s">
        <v>37</v>
      </c>
      <c r="D142" s="13">
        <v>6123</v>
      </c>
    </row>
    <row r="144" spans="1:4">
      <c r="A144" s="94" t="s">
        <v>117</v>
      </c>
    </row>
  </sheetData>
  <autoFilter ref="A1:D142" xr:uid="{BA676BFA-FAFA-490D-99DB-CB05F0758701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454C-9592-43B5-AA82-B65D3796B436}">
  <dimension ref="A1:H75"/>
  <sheetViews>
    <sheetView zoomScaleNormal="100" workbookViewId="0">
      <pane ySplit="1" topLeftCell="A40" activePane="bottomLeft" state="frozen"/>
      <selection pane="bottomLeft" activeCell="F69" sqref="F69"/>
    </sheetView>
  </sheetViews>
  <sheetFormatPr defaultRowHeight="17.100000000000001"/>
  <cols>
    <col min="1" max="1" width="5.625" bestFit="1" customWidth="1"/>
    <col min="2" max="2" width="50.625" customWidth="1"/>
    <col min="3" max="6" width="20.625" customWidth="1"/>
  </cols>
  <sheetData>
    <row r="1" spans="1:8" ht="18.600000000000001">
      <c r="A1" s="40" t="s">
        <v>0</v>
      </c>
      <c r="B1" s="40" t="s">
        <v>1</v>
      </c>
      <c r="C1" s="41" t="s">
        <v>118</v>
      </c>
      <c r="D1" s="41" t="s">
        <v>119</v>
      </c>
      <c r="E1" s="41" t="s">
        <v>120</v>
      </c>
      <c r="F1" s="2" t="s">
        <v>121</v>
      </c>
    </row>
    <row r="2" spans="1:8" ht="18.600000000000001">
      <c r="A2" s="43">
        <v>2018</v>
      </c>
      <c r="B2" s="42" t="s">
        <v>4</v>
      </c>
      <c r="C2" s="131" t="s">
        <v>122</v>
      </c>
      <c r="D2" s="131" t="s">
        <v>122</v>
      </c>
      <c r="E2" s="61" t="s">
        <v>123</v>
      </c>
      <c r="F2" s="61" t="s">
        <v>123</v>
      </c>
    </row>
    <row r="3" spans="1:8" ht="18.600000000000001">
      <c r="A3" s="52">
        <v>2018</v>
      </c>
      <c r="B3" s="53" t="s">
        <v>124</v>
      </c>
      <c r="C3" s="54">
        <v>757875</v>
      </c>
      <c r="D3" s="54">
        <v>395627</v>
      </c>
      <c r="E3" s="55"/>
      <c r="F3" s="49"/>
    </row>
    <row r="4" spans="1:8">
      <c r="H4" s="60"/>
    </row>
    <row r="5" spans="1:8" ht="18.600000000000001">
      <c r="A5" s="43">
        <v>2019</v>
      </c>
      <c r="B5" s="42" t="s">
        <v>18</v>
      </c>
      <c r="C5" s="131" t="s">
        <v>122</v>
      </c>
      <c r="D5" s="131" t="s">
        <v>122</v>
      </c>
      <c r="E5" s="61" t="s">
        <v>123</v>
      </c>
      <c r="F5" s="61" t="s">
        <v>123</v>
      </c>
    </row>
    <row r="6" spans="1:8" ht="18.600000000000001">
      <c r="A6" s="50">
        <v>2019</v>
      </c>
      <c r="B6" s="45" t="s">
        <v>125</v>
      </c>
      <c r="C6" s="47">
        <v>129973</v>
      </c>
      <c r="D6" s="47">
        <v>76507</v>
      </c>
      <c r="E6" s="47"/>
      <c r="F6" s="51"/>
    </row>
    <row r="7" spans="1:8" ht="18.600000000000001">
      <c r="A7" s="50">
        <v>2019</v>
      </c>
      <c r="B7" s="62" t="str">
        <f>HYPERLINK("#'PNC'!A1","PUBG Nations Cup 2019")</f>
        <v>PUBG Nations Cup 2019</v>
      </c>
      <c r="C7" s="47">
        <v>492735</v>
      </c>
      <c r="D7" s="47">
        <v>227506</v>
      </c>
      <c r="E7" s="47"/>
      <c r="F7" s="51"/>
    </row>
    <row r="8" spans="1:8" ht="18.600000000000001">
      <c r="A8" s="44">
        <v>2019</v>
      </c>
      <c r="B8" s="63" t="str">
        <f>HYPERLINK("#'PGC'!A1","PUBG Global Championship 2019")</f>
        <v>PUBG Global Championship 2019</v>
      </c>
      <c r="C8" s="48">
        <v>197470</v>
      </c>
      <c r="D8" s="48">
        <v>82468</v>
      </c>
      <c r="E8" s="48"/>
      <c r="F8" s="49"/>
    </row>
    <row r="10" spans="1:8" ht="18.600000000000001">
      <c r="A10" s="43">
        <v>2020</v>
      </c>
      <c r="B10" s="42" t="s">
        <v>126</v>
      </c>
      <c r="C10" s="61" t="s">
        <v>127</v>
      </c>
      <c r="D10" s="61" t="s">
        <v>122</v>
      </c>
      <c r="E10" s="61" t="s">
        <v>128</v>
      </c>
      <c r="F10" s="61" t="s">
        <v>123</v>
      </c>
    </row>
    <row r="11" spans="1:8" ht="18.600000000000001">
      <c r="A11" s="50">
        <v>2020</v>
      </c>
      <c r="B11" s="45" t="s">
        <v>129</v>
      </c>
      <c r="C11" s="47">
        <v>13124</v>
      </c>
      <c r="D11" s="47">
        <v>4345</v>
      </c>
      <c r="E11" s="47">
        <v>69217</v>
      </c>
      <c r="F11" s="51">
        <v>1457512</v>
      </c>
    </row>
    <row r="12" spans="1:8" ht="18.600000000000001">
      <c r="A12" s="50">
        <v>2020</v>
      </c>
      <c r="B12" s="45" t="s">
        <v>130</v>
      </c>
      <c r="C12" s="47">
        <v>201721</v>
      </c>
      <c r="D12" s="47">
        <v>61325</v>
      </c>
      <c r="E12" s="47">
        <v>395488</v>
      </c>
      <c r="F12" s="51">
        <v>2409031</v>
      </c>
    </row>
    <row r="13" spans="1:8" ht="18.600000000000001">
      <c r="A13" s="50">
        <v>2020</v>
      </c>
      <c r="B13" s="45" t="s">
        <v>131</v>
      </c>
      <c r="C13" s="47">
        <v>28663</v>
      </c>
      <c r="D13" s="47">
        <v>16319</v>
      </c>
      <c r="E13" s="47">
        <v>150486</v>
      </c>
      <c r="F13" s="51">
        <v>1399619</v>
      </c>
    </row>
    <row r="14" spans="1:8" ht="18.600000000000001">
      <c r="A14" s="50">
        <v>2020</v>
      </c>
      <c r="B14" s="45" t="s">
        <v>132</v>
      </c>
      <c r="C14" s="47">
        <v>78217</v>
      </c>
      <c r="D14" s="47">
        <v>41211</v>
      </c>
      <c r="E14" s="47">
        <v>347063</v>
      </c>
      <c r="F14" s="51">
        <v>7905498</v>
      </c>
    </row>
    <row r="15" spans="1:8" ht="18.600000000000001">
      <c r="A15" s="50">
        <v>2020</v>
      </c>
      <c r="B15" s="45" t="s">
        <v>133</v>
      </c>
      <c r="C15" s="47">
        <v>80907</v>
      </c>
      <c r="D15" s="47">
        <v>46474</v>
      </c>
      <c r="E15" s="47">
        <v>347805</v>
      </c>
      <c r="F15" s="51">
        <v>7354201</v>
      </c>
    </row>
    <row r="16" spans="1:8" ht="18.600000000000001">
      <c r="A16" s="50">
        <v>2020</v>
      </c>
      <c r="B16" s="45" t="s">
        <v>134</v>
      </c>
      <c r="C16" s="47">
        <v>16801</v>
      </c>
      <c r="D16" s="47">
        <v>6526</v>
      </c>
      <c r="E16" s="47">
        <v>67988</v>
      </c>
      <c r="F16" s="51">
        <v>1448924</v>
      </c>
    </row>
    <row r="17" spans="1:6" ht="18.600000000000001">
      <c r="A17" s="50">
        <v>2020</v>
      </c>
      <c r="B17" s="45" t="s">
        <v>135</v>
      </c>
      <c r="C17" s="47">
        <v>36017</v>
      </c>
      <c r="D17" s="47">
        <v>20890</v>
      </c>
      <c r="E17" s="47">
        <v>141872</v>
      </c>
      <c r="F17" s="51">
        <v>1614657</v>
      </c>
    </row>
    <row r="18" spans="1:6" ht="18.600000000000001">
      <c r="A18" s="50">
        <v>2020</v>
      </c>
      <c r="B18" s="45" t="s">
        <v>136</v>
      </c>
      <c r="C18" s="47">
        <v>239165</v>
      </c>
      <c r="D18" s="47">
        <v>61604</v>
      </c>
      <c r="E18" s="47">
        <v>400388</v>
      </c>
      <c r="F18" s="51">
        <v>3074927</v>
      </c>
    </row>
    <row r="19" spans="1:6" ht="18.600000000000001">
      <c r="A19" s="50">
        <v>2020</v>
      </c>
      <c r="B19" s="45" t="s">
        <v>137</v>
      </c>
      <c r="C19" s="47">
        <v>25798</v>
      </c>
      <c r="D19" s="47">
        <v>7289</v>
      </c>
      <c r="E19" s="47">
        <v>59713</v>
      </c>
      <c r="F19" s="51">
        <v>856377</v>
      </c>
    </row>
    <row r="20" spans="1:6" ht="18.600000000000001">
      <c r="A20" s="50">
        <v>2020</v>
      </c>
      <c r="B20" s="45" t="s">
        <v>138</v>
      </c>
      <c r="C20" s="47">
        <v>95360</v>
      </c>
      <c r="D20" s="47">
        <v>50913</v>
      </c>
      <c r="E20" s="47">
        <v>426299</v>
      </c>
      <c r="F20" s="51">
        <v>7077788</v>
      </c>
    </row>
    <row r="21" spans="1:6" ht="18.600000000000001">
      <c r="A21" s="50">
        <v>2020</v>
      </c>
      <c r="B21" s="45" t="s">
        <v>139</v>
      </c>
      <c r="C21" s="47">
        <v>35124</v>
      </c>
      <c r="D21" s="47">
        <v>21021</v>
      </c>
      <c r="E21" s="47">
        <v>221729</v>
      </c>
      <c r="F21" s="51">
        <v>507583</v>
      </c>
    </row>
    <row r="22" spans="1:6" ht="18.600000000000001">
      <c r="A22" s="44">
        <v>2020</v>
      </c>
      <c r="B22" s="46" t="s">
        <v>140</v>
      </c>
      <c r="C22" s="48">
        <v>215633</v>
      </c>
      <c r="D22" s="48">
        <v>45007</v>
      </c>
      <c r="E22" s="48">
        <v>352705</v>
      </c>
      <c r="F22" s="49">
        <v>2652993</v>
      </c>
    </row>
    <row r="24" spans="1:6" ht="18.600000000000001">
      <c r="A24" s="43">
        <v>2021</v>
      </c>
      <c r="B24" s="42" t="s">
        <v>71</v>
      </c>
      <c r="C24" s="61" t="s">
        <v>127</v>
      </c>
      <c r="D24" s="61" t="s">
        <v>122</v>
      </c>
      <c r="E24" s="61" t="s">
        <v>123</v>
      </c>
      <c r="F24" s="61" t="s">
        <v>123</v>
      </c>
    </row>
    <row r="25" spans="1:6" ht="18.600000000000001">
      <c r="A25" s="50">
        <v>2021</v>
      </c>
      <c r="B25" s="64" t="s">
        <v>141</v>
      </c>
      <c r="C25" s="47">
        <v>221903</v>
      </c>
      <c r="D25" s="47">
        <v>118519</v>
      </c>
      <c r="E25" s="47">
        <v>1876941</v>
      </c>
      <c r="F25" s="51">
        <v>8487408</v>
      </c>
    </row>
    <row r="26" spans="1:6" ht="18.600000000000001">
      <c r="A26" s="50">
        <v>2021</v>
      </c>
      <c r="B26" s="45" t="s">
        <v>142</v>
      </c>
      <c r="C26" s="47">
        <v>17344</v>
      </c>
      <c r="D26" s="47">
        <v>12580</v>
      </c>
      <c r="E26" s="47">
        <v>130548</v>
      </c>
      <c r="F26" s="51"/>
    </row>
    <row r="27" spans="1:6" ht="18.600000000000001">
      <c r="A27" s="50">
        <v>2021</v>
      </c>
      <c r="B27" s="45" t="s">
        <v>143</v>
      </c>
      <c r="C27" s="47">
        <v>300393</v>
      </c>
      <c r="D27" s="47">
        <v>36265</v>
      </c>
      <c r="E27" s="47">
        <v>574997</v>
      </c>
      <c r="F27" s="51"/>
    </row>
    <row r="28" spans="1:6" ht="18.600000000000001">
      <c r="A28" s="50">
        <v>2021</v>
      </c>
      <c r="B28" s="45" t="s">
        <v>144</v>
      </c>
      <c r="C28" s="47">
        <v>24486</v>
      </c>
      <c r="D28" s="47">
        <v>35502</v>
      </c>
      <c r="E28" s="47">
        <v>149401</v>
      </c>
      <c r="F28" s="51"/>
    </row>
    <row r="29" spans="1:6" ht="18.600000000000001">
      <c r="A29" s="50">
        <v>2021</v>
      </c>
      <c r="B29" s="45" t="s">
        <v>145</v>
      </c>
      <c r="C29" s="47">
        <v>27259</v>
      </c>
      <c r="D29" s="47">
        <v>31251</v>
      </c>
      <c r="E29" s="47">
        <v>325010</v>
      </c>
      <c r="F29" s="51"/>
    </row>
    <row r="30" spans="1:6" ht="18.600000000000001">
      <c r="A30" s="50">
        <v>2021</v>
      </c>
      <c r="B30" s="45" t="s">
        <v>146</v>
      </c>
      <c r="C30" s="47">
        <v>328785</v>
      </c>
      <c r="D30" s="47">
        <v>83802</v>
      </c>
      <c r="E30" s="47">
        <v>684055</v>
      </c>
      <c r="F30" s="51"/>
    </row>
    <row r="31" spans="1:6" ht="18.600000000000001">
      <c r="A31" s="50">
        <v>2021</v>
      </c>
      <c r="B31" s="45" t="s">
        <v>147</v>
      </c>
      <c r="C31" s="47">
        <v>20561</v>
      </c>
      <c r="D31" s="47">
        <v>12963</v>
      </c>
      <c r="E31" s="47">
        <v>184244</v>
      </c>
      <c r="F31" s="51"/>
    </row>
    <row r="32" spans="1:6" ht="18.600000000000001">
      <c r="A32" s="50">
        <v>2021</v>
      </c>
      <c r="B32" s="45" t="s">
        <v>148</v>
      </c>
      <c r="C32" s="47">
        <v>35701</v>
      </c>
      <c r="D32" s="47">
        <v>31289</v>
      </c>
      <c r="E32" s="47">
        <v>252819</v>
      </c>
      <c r="F32" s="51"/>
    </row>
    <row r="33" spans="1:6" ht="18.600000000000001">
      <c r="A33" s="50">
        <v>2021</v>
      </c>
      <c r="B33" s="45" t="s">
        <v>149</v>
      </c>
      <c r="C33" s="47">
        <v>24180</v>
      </c>
      <c r="D33" s="47">
        <v>21287</v>
      </c>
      <c r="E33" s="47">
        <v>289545</v>
      </c>
      <c r="F33" s="51"/>
    </row>
    <row r="34" spans="1:6" ht="18.600000000000001">
      <c r="A34" s="44">
        <v>2021</v>
      </c>
      <c r="B34" s="63" t="str">
        <f>HYPERLINK("#'PGC'!A17","PUBG Global Championship 2021")</f>
        <v>PUBG Global Championship 2021</v>
      </c>
      <c r="C34" s="48">
        <v>189256</v>
      </c>
      <c r="D34" s="48">
        <v>104629</v>
      </c>
      <c r="E34" s="48">
        <v>1225729</v>
      </c>
      <c r="F34" s="49"/>
    </row>
    <row r="36" spans="1:6" ht="18.600000000000001">
      <c r="A36" s="43">
        <v>2022</v>
      </c>
      <c r="B36" s="42" t="s">
        <v>82</v>
      </c>
      <c r="C36" s="61" t="s">
        <v>127</v>
      </c>
      <c r="D36" s="61" t="s">
        <v>122</v>
      </c>
      <c r="E36" s="61" t="s">
        <v>123</v>
      </c>
      <c r="F36" s="61" t="s">
        <v>123</v>
      </c>
    </row>
    <row r="37" spans="1:6" ht="18.600000000000001">
      <c r="A37" s="50">
        <v>2022</v>
      </c>
      <c r="B37" s="45" t="s">
        <v>150</v>
      </c>
      <c r="C37" s="47">
        <v>351824</v>
      </c>
      <c r="D37" s="47">
        <v>57658</v>
      </c>
      <c r="E37" s="47">
        <v>453264</v>
      </c>
      <c r="F37" s="51"/>
    </row>
    <row r="38" spans="1:6" ht="18.600000000000001">
      <c r="A38" s="50">
        <v>2022</v>
      </c>
      <c r="B38" s="45" t="s">
        <v>151</v>
      </c>
      <c r="C38" s="47">
        <v>28734</v>
      </c>
      <c r="D38" s="47">
        <v>20791</v>
      </c>
      <c r="E38" s="47">
        <v>207961</v>
      </c>
      <c r="F38" s="51"/>
    </row>
    <row r="39" spans="1:6" ht="18.600000000000001">
      <c r="A39" s="50">
        <v>2022</v>
      </c>
      <c r="B39" s="45" t="s">
        <v>152</v>
      </c>
      <c r="C39" s="47">
        <v>42533</v>
      </c>
      <c r="D39" s="47">
        <v>25471</v>
      </c>
      <c r="E39" s="47">
        <v>199539</v>
      </c>
      <c r="F39" s="51"/>
    </row>
    <row r="40" spans="1:6" ht="18.600000000000001">
      <c r="A40" s="50">
        <v>2022</v>
      </c>
      <c r="B40" s="45" t="s">
        <v>153</v>
      </c>
      <c r="C40" s="47">
        <v>25815</v>
      </c>
      <c r="D40" s="47">
        <v>27511</v>
      </c>
      <c r="E40" s="47">
        <v>120256</v>
      </c>
      <c r="F40" s="51"/>
    </row>
    <row r="41" spans="1:6" ht="18.600000000000001">
      <c r="A41" s="50">
        <v>2022</v>
      </c>
      <c r="B41" s="62" t="str">
        <f>HYPERLINK("#'PNC'!A17","PUBG Nations Cup 2022")</f>
        <v>PUBG Nations Cup 2022</v>
      </c>
      <c r="C41" s="47">
        <v>275943</v>
      </c>
      <c r="D41" s="47">
        <v>147684</v>
      </c>
      <c r="E41" s="47">
        <v>1798894</v>
      </c>
      <c r="F41" s="51"/>
    </row>
    <row r="42" spans="1:6" ht="18.600000000000001">
      <c r="A42" s="50">
        <v>2022</v>
      </c>
      <c r="B42" s="45" t="s">
        <v>154</v>
      </c>
      <c r="C42" s="47">
        <v>28962</v>
      </c>
      <c r="D42" s="47">
        <v>17834</v>
      </c>
      <c r="E42" s="47">
        <v>261469</v>
      </c>
      <c r="F42" s="51"/>
    </row>
    <row r="43" spans="1:6" ht="18.600000000000001">
      <c r="A43" s="50">
        <v>2022</v>
      </c>
      <c r="B43" s="45" t="s">
        <v>155</v>
      </c>
      <c r="C43" s="47">
        <v>113635</v>
      </c>
      <c r="D43" s="47">
        <v>58081</v>
      </c>
      <c r="E43" s="47">
        <v>388323</v>
      </c>
      <c r="F43" s="51"/>
    </row>
    <row r="44" spans="1:6" ht="18.600000000000001">
      <c r="A44" s="50">
        <v>2022</v>
      </c>
      <c r="B44" s="45" t="s">
        <v>156</v>
      </c>
      <c r="C44" s="47">
        <v>67230</v>
      </c>
      <c r="D44" s="47">
        <v>38839</v>
      </c>
      <c r="E44" s="47">
        <v>187108</v>
      </c>
      <c r="F44" s="51"/>
    </row>
    <row r="45" spans="1:6" ht="18.600000000000001">
      <c r="A45" s="50">
        <v>2022</v>
      </c>
      <c r="B45" s="45" t="s">
        <v>157</v>
      </c>
      <c r="C45" s="47">
        <v>33594</v>
      </c>
      <c r="D45" s="47">
        <v>15177</v>
      </c>
      <c r="E45" s="47">
        <v>159754</v>
      </c>
      <c r="F45" s="51"/>
    </row>
    <row r="46" spans="1:6" ht="18.600000000000001">
      <c r="A46" s="44">
        <v>2022</v>
      </c>
      <c r="B46" s="63" t="str">
        <f>HYPERLINK("#'PGC'!A33","PUBG Global Championship 2022")</f>
        <v>PUBG Global Championship 2022</v>
      </c>
      <c r="C46" s="48">
        <v>185793</v>
      </c>
      <c r="D46" s="48">
        <v>104196</v>
      </c>
      <c r="E46" s="48">
        <v>1113547</v>
      </c>
      <c r="F46" s="49"/>
    </row>
    <row r="48" spans="1:6" ht="18.600000000000001">
      <c r="A48" s="43">
        <v>2023</v>
      </c>
      <c r="B48" s="42" t="s">
        <v>158</v>
      </c>
      <c r="C48" s="61" t="s">
        <v>122</v>
      </c>
      <c r="D48" s="61" t="s">
        <v>122</v>
      </c>
      <c r="E48" s="61" t="s">
        <v>123</v>
      </c>
      <c r="F48" s="61" t="s">
        <v>123</v>
      </c>
    </row>
    <row r="49" spans="1:6" ht="18.600000000000001">
      <c r="A49" s="50">
        <v>2023</v>
      </c>
      <c r="B49" s="62" t="str">
        <f>HYPERLINK("#'PGS'!A1","PUBG Global Series 1 2023")</f>
        <v>PUBG Global Series 1 2023</v>
      </c>
      <c r="C49" s="47">
        <v>134817</v>
      </c>
      <c r="D49" s="47">
        <v>71348</v>
      </c>
      <c r="E49" s="47">
        <v>667984</v>
      </c>
      <c r="F49" s="51"/>
    </row>
    <row r="50" spans="1:6" ht="18.600000000000001">
      <c r="A50" s="50">
        <v>2023</v>
      </c>
      <c r="B50" s="62" t="str">
        <f>HYPERLINK("#'PGS'!A17","PUBG Global Series 2 2023")</f>
        <v>PUBG Global Series 2 2023</v>
      </c>
      <c r="C50" s="47">
        <v>163428</v>
      </c>
      <c r="D50" s="47">
        <v>81566</v>
      </c>
      <c r="E50" s="47">
        <v>701409</v>
      </c>
      <c r="F50" s="51"/>
    </row>
    <row r="51" spans="1:6" ht="18.600000000000001">
      <c r="A51" s="50">
        <v>2023</v>
      </c>
      <c r="B51" s="62" t="str">
        <f>HYPERLINK("#'PNC'!A33","PUBG Nations Cup 2023")</f>
        <v>PUBG Nations Cup 2023</v>
      </c>
      <c r="C51" s="47">
        <v>230782</v>
      </c>
      <c r="D51" s="47">
        <v>122286</v>
      </c>
      <c r="E51" s="47">
        <v>1158638</v>
      </c>
      <c r="F51" s="51"/>
    </row>
    <row r="52" spans="1:6" ht="18.600000000000001">
      <c r="A52" s="44">
        <v>2023</v>
      </c>
      <c r="B52" s="63" t="str">
        <f>HYPERLINK("#'PGC'!A49","PUBG Global Championship 2023")</f>
        <v>PUBG Global Championship 2023</v>
      </c>
      <c r="C52" s="48">
        <v>263656</v>
      </c>
      <c r="D52" s="48">
        <v>113463</v>
      </c>
      <c r="E52" s="48">
        <v>1534937</v>
      </c>
      <c r="F52" s="49"/>
    </row>
    <row r="54" spans="1:6" ht="18.600000000000001">
      <c r="A54" s="43">
        <v>2024</v>
      </c>
      <c r="B54" s="42" t="s">
        <v>102</v>
      </c>
      <c r="C54" s="61" t="s">
        <v>122</v>
      </c>
      <c r="D54" s="61" t="s">
        <v>122</v>
      </c>
      <c r="E54" s="61" t="s">
        <v>159</v>
      </c>
      <c r="F54" s="61" t="s">
        <v>123</v>
      </c>
    </row>
    <row r="55" spans="1:6" ht="18.600000000000001">
      <c r="A55" s="50">
        <v>2024</v>
      </c>
      <c r="B55" s="62" t="str">
        <f>HYPERLINK("#'PGS'!A33","PUBG Global Series 3 2024")</f>
        <v>PUBG Global Series 3 2024</v>
      </c>
      <c r="C55" s="47">
        <v>281899</v>
      </c>
      <c r="D55" s="47">
        <v>110082</v>
      </c>
      <c r="E55" s="47"/>
      <c r="F55" s="51">
        <v>5043583</v>
      </c>
    </row>
    <row r="56" spans="1:6" ht="18.600000000000001">
      <c r="A56" s="50">
        <v>2024</v>
      </c>
      <c r="B56" s="62" t="str">
        <f>HYPERLINK("#'PGS'!A49","PUBG Global Series 4 2024")</f>
        <v>PUBG Global Series 4 2024</v>
      </c>
      <c r="C56" s="47">
        <v>287530</v>
      </c>
      <c r="D56" s="47">
        <v>125156</v>
      </c>
      <c r="E56" s="47"/>
      <c r="F56" s="51">
        <v>5490625</v>
      </c>
    </row>
    <row r="57" spans="1:6" ht="18.600000000000001">
      <c r="A57" s="50">
        <v>2024</v>
      </c>
      <c r="B57" s="45" t="s">
        <v>160</v>
      </c>
      <c r="C57" s="47">
        <v>105712</v>
      </c>
      <c r="D57" s="47">
        <v>51954</v>
      </c>
      <c r="E57" s="47" t="s">
        <v>161</v>
      </c>
      <c r="F57" s="54" t="s">
        <v>161</v>
      </c>
    </row>
    <row r="58" spans="1:6" ht="18.600000000000001">
      <c r="A58" s="50">
        <v>2024</v>
      </c>
      <c r="B58" s="62" t="str">
        <f>HYPERLINK("#'PNC'!A49","PUBG Nations Cup 2024")</f>
        <v>PUBG Nations Cup 2024</v>
      </c>
      <c r="C58" s="47">
        <v>510997</v>
      </c>
      <c r="D58" s="47">
        <v>202133</v>
      </c>
      <c r="E58" s="47"/>
      <c r="F58" s="56">
        <v>6979574</v>
      </c>
    </row>
    <row r="59" spans="1:6" ht="18.600000000000001">
      <c r="A59" s="50">
        <v>2024</v>
      </c>
      <c r="B59" s="62" t="str">
        <f>HYPERLINK("#'PGS'!A65","PUBG Global Series 5 2024")</f>
        <v>PUBG Global Series 5 2024</v>
      </c>
      <c r="C59" s="47">
        <v>273692</v>
      </c>
      <c r="D59" s="47">
        <v>118582</v>
      </c>
      <c r="E59" s="47">
        <v>1007874</v>
      </c>
      <c r="F59" s="51"/>
    </row>
    <row r="60" spans="1:6" ht="18.600000000000001">
      <c r="A60" s="50">
        <v>2024</v>
      </c>
      <c r="B60" s="62" t="str">
        <f>HYPERLINK("#'PGS'!A81","PUBG Global Series 6 2024")</f>
        <v>PUBG Global Series 6 2024</v>
      </c>
      <c r="C60" s="47">
        <v>327827</v>
      </c>
      <c r="D60" s="47">
        <v>124978</v>
      </c>
      <c r="E60" s="47">
        <v>996461</v>
      </c>
      <c r="F60" s="51"/>
    </row>
    <row r="61" spans="1:6" ht="18.600000000000001">
      <c r="A61" s="44">
        <v>2024</v>
      </c>
      <c r="B61" s="63" t="str">
        <f>HYPERLINK("#'PGC'!A65","PUBG Global Championship 2024")</f>
        <v>PUBG Global Championship 2024</v>
      </c>
      <c r="C61" s="48">
        <v>494645</v>
      </c>
      <c r="D61" s="48">
        <v>122795</v>
      </c>
      <c r="E61" s="48">
        <v>1626412</v>
      </c>
      <c r="F61" s="49"/>
    </row>
    <row r="64" spans="1:6" ht="18.600000000000001">
      <c r="A64" s="43">
        <v>2025</v>
      </c>
      <c r="B64" s="42" t="s">
        <v>112</v>
      </c>
      <c r="C64" s="61" t="s">
        <v>122</v>
      </c>
      <c r="D64" s="61" t="s">
        <v>122</v>
      </c>
      <c r="E64" s="61" t="s">
        <v>159</v>
      </c>
      <c r="F64" s="61" t="s">
        <v>123</v>
      </c>
    </row>
    <row r="65" spans="1:6" ht="18.600000000000001">
      <c r="A65" s="50">
        <v>2025</v>
      </c>
      <c r="B65" s="62" t="str">
        <f>HYPERLINK("#'PGS'!A97","PUBG Global Series 7 2025")</f>
        <v>PUBG Global Series 7 2025</v>
      </c>
      <c r="C65" s="47">
        <v>343749</v>
      </c>
      <c r="D65" s="47">
        <v>97227</v>
      </c>
      <c r="E65" s="47">
        <v>790976</v>
      </c>
      <c r="F65" s="51">
        <v>6628222</v>
      </c>
    </row>
    <row r="66" spans="1:6" ht="18.600000000000001">
      <c r="A66" s="50">
        <v>2025</v>
      </c>
      <c r="B66" s="62" t="str">
        <f>HYPERLINK("#'PGS'!A113","PUBG Global Series 8 2025")</f>
        <v>PUBG Global Series 8 2025</v>
      </c>
      <c r="C66" s="47">
        <v>270077</v>
      </c>
      <c r="D66" s="47">
        <v>88026</v>
      </c>
      <c r="E66" s="47">
        <v>742727</v>
      </c>
      <c r="F66" s="51">
        <v>6719165</v>
      </c>
    </row>
    <row r="67" spans="1:6" ht="18.600000000000001">
      <c r="A67" s="50">
        <v>2025</v>
      </c>
      <c r="B67" s="62" t="str">
        <f>HYPERLINK("#'PNC'!A65","PUBG Nations Cup 2025")</f>
        <v>PUBG Nations Cup 2025</v>
      </c>
      <c r="C67" s="47">
        <v>817769</v>
      </c>
      <c r="D67" s="47">
        <v>273040</v>
      </c>
      <c r="E67" s="47">
        <v>2412378</v>
      </c>
      <c r="F67" s="51">
        <v>6874197</v>
      </c>
    </row>
    <row r="68" spans="1:6" ht="18.600000000000001">
      <c r="A68" s="50">
        <v>2025</v>
      </c>
      <c r="B68" s="45" t="s">
        <v>162</v>
      </c>
      <c r="C68" s="47">
        <v>273385</v>
      </c>
      <c r="D68" s="47">
        <v>98735</v>
      </c>
      <c r="E68" s="47" t="s">
        <v>161</v>
      </c>
      <c r="F68" s="54" t="s">
        <v>161</v>
      </c>
    </row>
    <row r="69" spans="1:6" ht="18.600000000000001">
      <c r="A69" s="50">
        <v>2025</v>
      </c>
      <c r="B69" s="62" t="str">
        <f>HYPERLINK("#'PGS'!A129","PUBG Global Series 9 2025")</f>
        <v>PUBG Global Series 9 2025</v>
      </c>
      <c r="C69" s="47">
        <v>173324</v>
      </c>
      <c r="D69" s="47">
        <v>83106</v>
      </c>
      <c r="E69" s="47">
        <v>692372</v>
      </c>
      <c r="F69" s="56">
        <v>6325252</v>
      </c>
    </row>
    <row r="70" spans="1:6" ht="18.600000000000001">
      <c r="A70" s="50">
        <v>2025</v>
      </c>
      <c r="B70" s="62" t="str">
        <f>HYPERLINK("#'PGS'!A145","PUBG Global Series 10 2025")</f>
        <v>PUBG Global Series 10 2025</v>
      </c>
      <c r="C70" s="47">
        <v>227376</v>
      </c>
      <c r="D70" s="47">
        <v>99938</v>
      </c>
      <c r="E70" s="47">
        <v>790460</v>
      </c>
      <c r="F70" s="51">
        <v>6565806</v>
      </c>
    </row>
    <row r="71" spans="1:6" ht="18.600000000000001">
      <c r="A71" s="44">
        <v>2025</v>
      </c>
      <c r="B71" s="63" t="str">
        <f>HYPERLINK("#'PGC'!A81","PUBG Global Championship 2025")</f>
        <v>PUBG Global Championship 2025</v>
      </c>
      <c r="C71" s="48">
        <v>488957</v>
      </c>
      <c r="D71" s="48">
        <v>138174</v>
      </c>
      <c r="E71" s="48">
        <v>2120774</v>
      </c>
      <c r="F71" s="49">
        <v>7224935</v>
      </c>
    </row>
    <row r="72" spans="1:6" ht="18.600000000000001">
      <c r="A72" s="44">
        <v>2025</v>
      </c>
      <c r="B72" s="46" t="s">
        <v>163</v>
      </c>
      <c r="C72" s="48">
        <v>175177</v>
      </c>
      <c r="D72" s="48">
        <v>87985</v>
      </c>
      <c r="E72" s="48">
        <v>992677</v>
      </c>
      <c r="F72" s="49" t="s">
        <v>161</v>
      </c>
    </row>
    <row r="73" spans="1:6" ht="18.600000000000001">
      <c r="A73" s="57"/>
      <c r="B73" s="58"/>
      <c r="C73" s="59"/>
      <c r="D73" s="59"/>
      <c r="E73" s="59"/>
      <c r="F73" s="59"/>
    </row>
    <row r="74" spans="1:6" ht="18.600000000000001">
      <c r="A74" s="132">
        <v>2026</v>
      </c>
      <c r="B74" s="5" t="s">
        <v>164</v>
      </c>
      <c r="C74" s="133" t="s">
        <v>165</v>
      </c>
      <c r="D74" s="133" t="s">
        <v>165</v>
      </c>
      <c r="E74" s="133" t="s">
        <v>166</v>
      </c>
      <c r="F74" s="133" t="s">
        <v>123</v>
      </c>
    </row>
    <row r="75" spans="1:6" ht="18.600000000000001">
      <c r="A75" s="134">
        <v>2026</v>
      </c>
      <c r="B75" s="135" t="s">
        <v>167</v>
      </c>
      <c r="C75" s="136">
        <v>332886</v>
      </c>
      <c r="D75" s="136">
        <v>127235</v>
      </c>
      <c r="E75" s="136"/>
      <c r="F75" s="136">
        <v>7513359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AB7D-A118-46B8-8C22-4078C742E360}">
  <dimension ref="A1:AC177"/>
  <sheetViews>
    <sheetView topLeftCell="A92" workbookViewId="0">
      <pane xSplit="1" topLeftCell="B1" activePane="topRight" state="frozen"/>
      <selection pane="topRight" activeCell="A177" sqref="A177"/>
    </sheetView>
  </sheetViews>
  <sheetFormatPr defaultRowHeight="17.100000000000001"/>
  <cols>
    <col min="1" max="1" width="19.625" customWidth="1"/>
    <col min="2" max="29" width="12.5" customWidth="1"/>
  </cols>
  <sheetData>
    <row r="1" spans="1:21">
      <c r="A1" s="70"/>
      <c r="B1" s="150">
        <v>45043</v>
      </c>
      <c r="C1" s="151"/>
      <c r="D1" s="150">
        <v>45044</v>
      </c>
      <c r="E1" s="151"/>
      <c r="F1" s="150">
        <v>45045</v>
      </c>
      <c r="G1" s="151"/>
      <c r="H1" s="150">
        <v>45046</v>
      </c>
      <c r="I1" s="151"/>
      <c r="J1" s="150">
        <v>45047</v>
      </c>
      <c r="K1" s="151"/>
      <c r="L1" s="150">
        <v>45048</v>
      </c>
      <c r="M1" s="151"/>
      <c r="N1" s="150">
        <v>45049</v>
      </c>
      <c r="O1" s="151"/>
      <c r="P1" s="150">
        <v>45051</v>
      </c>
      <c r="Q1" s="151"/>
      <c r="R1" s="150">
        <v>45052</v>
      </c>
      <c r="S1" s="151"/>
      <c r="T1" s="150">
        <v>45053</v>
      </c>
      <c r="U1" s="151"/>
    </row>
    <row r="2" spans="1:21">
      <c r="A2" s="69"/>
      <c r="B2" s="152" t="s">
        <v>168</v>
      </c>
      <c r="C2" s="153"/>
      <c r="D2" s="152" t="s">
        <v>168</v>
      </c>
      <c r="E2" s="153"/>
      <c r="F2" s="152" t="s">
        <v>168</v>
      </c>
      <c r="G2" s="153"/>
      <c r="H2" s="152" t="s">
        <v>168</v>
      </c>
      <c r="I2" s="153"/>
      <c r="J2" s="152" t="s">
        <v>168</v>
      </c>
      <c r="K2" s="153"/>
      <c r="L2" s="152" t="s">
        <v>168</v>
      </c>
      <c r="M2" s="153"/>
      <c r="N2" s="152" t="s">
        <v>168</v>
      </c>
      <c r="O2" s="153"/>
      <c r="P2" s="152" t="s">
        <v>168</v>
      </c>
      <c r="Q2" s="153"/>
      <c r="R2" s="152" t="s">
        <v>168</v>
      </c>
      <c r="S2" s="153"/>
      <c r="T2" s="152" t="s">
        <v>168</v>
      </c>
      <c r="U2" s="153"/>
    </row>
    <row r="3" spans="1:21">
      <c r="A3" s="69"/>
      <c r="B3" s="152" t="s">
        <v>169</v>
      </c>
      <c r="C3" s="153"/>
      <c r="D3" s="152" t="s">
        <v>170</v>
      </c>
      <c r="E3" s="153"/>
      <c r="F3" s="152" t="s">
        <v>171</v>
      </c>
      <c r="G3" s="153"/>
      <c r="H3" s="152" t="s">
        <v>172</v>
      </c>
      <c r="I3" s="153"/>
      <c r="J3" s="152" t="s">
        <v>173</v>
      </c>
      <c r="K3" s="153"/>
      <c r="L3" s="152" t="s">
        <v>174</v>
      </c>
      <c r="M3" s="153"/>
      <c r="N3" s="152" t="s">
        <v>175</v>
      </c>
      <c r="O3" s="153"/>
      <c r="P3" s="152" t="s">
        <v>176</v>
      </c>
      <c r="Q3" s="153"/>
      <c r="R3" s="152" t="s">
        <v>177</v>
      </c>
      <c r="S3" s="167"/>
      <c r="T3" s="152" t="s">
        <v>178</v>
      </c>
      <c r="U3" s="167"/>
    </row>
    <row r="4" spans="1:21">
      <c r="A4" s="69"/>
      <c r="B4" s="152" t="s">
        <v>179</v>
      </c>
      <c r="C4" s="153"/>
      <c r="D4" s="152" t="s">
        <v>179</v>
      </c>
      <c r="E4" s="153"/>
      <c r="F4" s="152" t="s">
        <v>179</v>
      </c>
      <c r="G4" s="153"/>
      <c r="H4" s="152" t="s">
        <v>180</v>
      </c>
      <c r="I4" s="153"/>
      <c r="J4" s="152" t="s">
        <v>180</v>
      </c>
      <c r="K4" s="153"/>
      <c r="L4" s="152" t="s">
        <v>180</v>
      </c>
      <c r="M4" s="153"/>
      <c r="N4" s="152" t="s">
        <v>180</v>
      </c>
      <c r="O4" s="153"/>
      <c r="P4" s="152" t="s">
        <v>181</v>
      </c>
      <c r="Q4" s="153"/>
      <c r="R4" s="152" t="s">
        <v>181</v>
      </c>
      <c r="S4" s="153"/>
      <c r="T4" s="152" t="s">
        <v>181</v>
      </c>
      <c r="U4" s="153"/>
    </row>
    <row r="5" spans="1:21">
      <c r="A5" s="65" t="s">
        <v>182</v>
      </c>
      <c r="B5" s="68" t="s">
        <v>183</v>
      </c>
      <c r="C5" s="67" t="s">
        <v>184</v>
      </c>
      <c r="D5" s="68" t="s">
        <v>183</v>
      </c>
      <c r="E5" s="67" t="s">
        <v>184</v>
      </c>
      <c r="F5" s="68" t="s">
        <v>183</v>
      </c>
      <c r="G5" s="67" t="s">
        <v>184</v>
      </c>
      <c r="H5" s="68" t="s">
        <v>183</v>
      </c>
      <c r="I5" s="67" t="s">
        <v>184</v>
      </c>
      <c r="J5" s="68" t="s">
        <v>183</v>
      </c>
      <c r="K5" s="67" t="s">
        <v>184</v>
      </c>
      <c r="L5" s="68" t="s">
        <v>183</v>
      </c>
      <c r="M5" s="67" t="s">
        <v>184</v>
      </c>
      <c r="N5" s="68" t="s">
        <v>183</v>
      </c>
      <c r="O5" s="67" t="s">
        <v>184</v>
      </c>
      <c r="P5" s="68" t="s">
        <v>183</v>
      </c>
      <c r="Q5" s="67" t="s">
        <v>184</v>
      </c>
      <c r="R5" s="68" t="s">
        <v>183</v>
      </c>
      <c r="S5" s="67" t="s">
        <v>184</v>
      </c>
      <c r="T5" s="68" t="s">
        <v>183</v>
      </c>
      <c r="U5" s="67" t="s">
        <v>184</v>
      </c>
    </row>
    <row r="6" spans="1:21">
      <c r="A6" s="66" t="s">
        <v>185</v>
      </c>
      <c r="B6" s="71">
        <v>34550</v>
      </c>
      <c r="C6" s="72">
        <v>17877</v>
      </c>
      <c r="D6" s="71">
        <v>15044</v>
      </c>
      <c r="E6" s="72">
        <v>8815</v>
      </c>
      <c r="F6" s="71">
        <v>34639</v>
      </c>
      <c r="G6" s="72">
        <v>18685</v>
      </c>
      <c r="H6" s="71">
        <v>31212</v>
      </c>
      <c r="I6" s="72">
        <v>16656</v>
      </c>
      <c r="J6" s="71">
        <v>44524</v>
      </c>
      <c r="K6" s="72">
        <v>26544</v>
      </c>
      <c r="L6" s="71">
        <v>19064</v>
      </c>
      <c r="M6" s="72">
        <v>11258</v>
      </c>
      <c r="N6" s="71">
        <v>17866</v>
      </c>
      <c r="O6" s="72">
        <v>10728</v>
      </c>
      <c r="P6" s="71">
        <v>40217</v>
      </c>
      <c r="Q6" s="72">
        <v>24179</v>
      </c>
      <c r="R6" s="71">
        <v>41551</v>
      </c>
      <c r="S6" s="72">
        <v>24772</v>
      </c>
      <c r="T6" s="71">
        <v>47310</v>
      </c>
      <c r="U6" s="72">
        <v>31905</v>
      </c>
    </row>
    <row r="7" spans="1:21">
      <c r="A7" s="66" t="s">
        <v>186</v>
      </c>
      <c r="B7" s="71">
        <v>14463</v>
      </c>
      <c r="C7" s="72">
        <v>6072</v>
      </c>
      <c r="D7" s="71">
        <v>20377</v>
      </c>
      <c r="E7" s="72">
        <v>12065</v>
      </c>
      <c r="F7" s="71">
        <v>23118</v>
      </c>
      <c r="G7" s="72">
        <v>11074</v>
      </c>
      <c r="H7" s="71">
        <v>26659</v>
      </c>
      <c r="I7" s="72">
        <v>15175</v>
      </c>
      <c r="J7" s="71">
        <v>32474</v>
      </c>
      <c r="K7" s="72">
        <v>21097</v>
      </c>
      <c r="L7" s="71">
        <v>22990</v>
      </c>
      <c r="M7" s="72">
        <v>14104</v>
      </c>
      <c r="N7" s="71">
        <v>18956</v>
      </c>
      <c r="O7" s="72">
        <v>10666</v>
      </c>
      <c r="P7" s="71">
        <v>31486</v>
      </c>
      <c r="Q7" s="72">
        <v>20261</v>
      </c>
      <c r="R7" s="71">
        <v>27996</v>
      </c>
      <c r="S7" s="72">
        <v>16909</v>
      </c>
      <c r="T7" s="71">
        <v>24602</v>
      </c>
      <c r="U7" s="72">
        <v>16885</v>
      </c>
    </row>
    <row r="8" spans="1:21">
      <c r="A8" s="66" t="s">
        <v>187</v>
      </c>
      <c r="B8" s="71">
        <v>15842</v>
      </c>
      <c r="C8" s="72">
        <v>10106</v>
      </c>
      <c r="D8" s="71">
        <v>14893</v>
      </c>
      <c r="E8" s="72">
        <v>9514</v>
      </c>
      <c r="F8" s="71">
        <v>16318</v>
      </c>
      <c r="G8" s="72">
        <v>10687</v>
      </c>
      <c r="H8" s="71">
        <v>14549</v>
      </c>
      <c r="I8" s="72">
        <v>10178</v>
      </c>
      <c r="J8" s="71">
        <v>16231</v>
      </c>
      <c r="K8" s="72">
        <v>11371</v>
      </c>
      <c r="L8" s="71">
        <v>21831</v>
      </c>
      <c r="M8" s="72">
        <v>14664</v>
      </c>
      <c r="N8" s="71">
        <v>23938</v>
      </c>
      <c r="O8" s="72">
        <v>16384</v>
      </c>
      <c r="P8" s="71">
        <v>28257</v>
      </c>
      <c r="Q8" s="72">
        <v>22171</v>
      </c>
      <c r="R8" s="71">
        <v>23502</v>
      </c>
      <c r="S8" s="72">
        <v>18043</v>
      </c>
      <c r="T8" s="71">
        <v>24386</v>
      </c>
      <c r="U8" s="72">
        <v>18563</v>
      </c>
    </row>
    <row r="9" spans="1:21">
      <c r="A9" s="66" t="s">
        <v>188</v>
      </c>
      <c r="B9" s="71">
        <v>13565</v>
      </c>
      <c r="C9" s="72">
        <v>9078</v>
      </c>
      <c r="D9" s="71">
        <v>12992</v>
      </c>
      <c r="E9" s="72">
        <v>9300</v>
      </c>
      <c r="F9" s="71">
        <v>15451</v>
      </c>
      <c r="G9" s="72">
        <v>9880</v>
      </c>
      <c r="H9" s="71">
        <v>16200</v>
      </c>
      <c r="I9" s="72">
        <v>11448</v>
      </c>
      <c r="J9" s="71">
        <v>20544</v>
      </c>
      <c r="K9" s="72">
        <v>14201</v>
      </c>
      <c r="L9" s="71">
        <v>15449</v>
      </c>
      <c r="M9" s="72">
        <v>10502</v>
      </c>
      <c r="N9" s="71">
        <v>15561</v>
      </c>
      <c r="O9" s="72">
        <v>10206</v>
      </c>
      <c r="P9" s="71">
        <v>19368</v>
      </c>
      <c r="Q9" s="72">
        <v>15163</v>
      </c>
      <c r="R9" s="71">
        <v>19545</v>
      </c>
      <c r="S9" s="72">
        <v>15491</v>
      </c>
      <c r="T9" s="71">
        <v>22915</v>
      </c>
      <c r="U9" s="72">
        <v>17765</v>
      </c>
    </row>
    <row r="10" spans="1:21">
      <c r="A10" s="66" t="s">
        <v>189</v>
      </c>
      <c r="B10" s="71">
        <v>4105</v>
      </c>
      <c r="C10" s="72">
        <v>2981</v>
      </c>
      <c r="D10" s="71">
        <v>4092</v>
      </c>
      <c r="E10" s="72">
        <v>2903</v>
      </c>
      <c r="F10" s="71">
        <v>4360</v>
      </c>
      <c r="G10" s="72">
        <v>2621</v>
      </c>
      <c r="H10" s="71">
        <v>5496</v>
      </c>
      <c r="I10" s="72">
        <v>3527</v>
      </c>
      <c r="J10" s="71">
        <v>6925</v>
      </c>
      <c r="K10" s="72">
        <v>4975</v>
      </c>
      <c r="L10" s="71">
        <v>5214</v>
      </c>
      <c r="M10" s="72">
        <v>3402</v>
      </c>
      <c r="N10" s="71">
        <v>5048</v>
      </c>
      <c r="O10" s="72">
        <v>3377</v>
      </c>
      <c r="P10" s="71">
        <v>6330</v>
      </c>
      <c r="Q10" s="72">
        <v>5103</v>
      </c>
      <c r="R10" s="71">
        <v>6577</v>
      </c>
      <c r="S10" s="72">
        <v>5292</v>
      </c>
      <c r="T10" s="71">
        <v>6974</v>
      </c>
      <c r="U10" s="72">
        <v>5425</v>
      </c>
    </row>
    <row r="11" spans="1:21">
      <c r="A11" s="66" t="s">
        <v>190</v>
      </c>
      <c r="B11" s="71">
        <v>2146</v>
      </c>
      <c r="C11" s="72">
        <v>1229</v>
      </c>
      <c r="D11" s="71">
        <v>2145</v>
      </c>
      <c r="E11" s="72">
        <v>1262</v>
      </c>
      <c r="F11" s="71">
        <v>2182</v>
      </c>
      <c r="G11" s="72">
        <v>1193</v>
      </c>
      <c r="H11" s="71">
        <v>2437</v>
      </c>
      <c r="I11" s="72">
        <v>1345</v>
      </c>
      <c r="J11" s="71">
        <v>2946</v>
      </c>
      <c r="K11" s="72">
        <v>1680</v>
      </c>
      <c r="L11" s="71">
        <v>2291</v>
      </c>
      <c r="M11" s="72">
        <v>1367</v>
      </c>
      <c r="N11" s="71">
        <v>2479</v>
      </c>
      <c r="O11" s="72">
        <v>1448</v>
      </c>
      <c r="P11" s="71">
        <v>2982</v>
      </c>
      <c r="Q11" s="72">
        <v>2050</v>
      </c>
      <c r="R11" s="71">
        <v>2899</v>
      </c>
      <c r="S11" s="72">
        <v>1925</v>
      </c>
      <c r="T11" s="71">
        <v>3718</v>
      </c>
      <c r="U11" s="72">
        <v>2230</v>
      </c>
    </row>
    <row r="12" spans="1:21" ht="17.45" thickBot="1">
      <c r="A12" s="82" t="s">
        <v>191</v>
      </c>
      <c r="B12" s="79">
        <v>82701</v>
      </c>
      <c r="C12" s="80">
        <v>52991</v>
      </c>
      <c r="D12" s="79">
        <v>74630</v>
      </c>
      <c r="E12" s="80">
        <v>50453</v>
      </c>
      <c r="F12" s="79">
        <v>98923</v>
      </c>
      <c r="G12" s="80">
        <v>60335</v>
      </c>
      <c r="H12" s="79">
        <v>104649</v>
      </c>
      <c r="I12" s="80">
        <v>65697</v>
      </c>
      <c r="J12" s="79">
        <v>132170</v>
      </c>
      <c r="K12" s="80">
        <v>88179</v>
      </c>
      <c r="L12" s="79">
        <v>93030</v>
      </c>
      <c r="M12" s="80">
        <v>61921</v>
      </c>
      <c r="N12" s="79">
        <v>89633</v>
      </c>
      <c r="O12" s="80">
        <v>60078</v>
      </c>
      <c r="P12" s="79">
        <v>124728</v>
      </c>
      <c r="Q12" s="80">
        <v>97196</v>
      </c>
      <c r="R12" s="79">
        <v>123711</v>
      </c>
      <c r="S12" s="80">
        <v>91002</v>
      </c>
      <c r="T12" s="79">
        <v>134817</v>
      </c>
      <c r="U12" s="80">
        <v>102684</v>
      </c>
    </row>
    <row r="13" spans="1:21" ht="33.950000000000003">
      <c r="A13" s="86" t="s">
        <v>192</v>
      </c>
      <c r="B13" s="154">
        <v>513985</v>
      </c>
      <c r="C13" s="155"/>
      <c r="D13" s="158">
        <v>421262</v>
      </c>
      <c r="E13" s="155"/>
      <c r="F13" s="158">
        <v>464553</v>
      </c>
      <c r="G13" s="155"/>
      <c r="H13" s="158">
        <v>507176</v>
      </c>
      <c r="I13" s="155"/>
      <c r="J13" s="158">
        <v>604137</v>
      </c>
      <c r="K13" s="155"/>
      <c r="L13" s="158">
        <v>471694</v>
      </c>
      <c r="M13" s="155"/>
      <c r="N13" s="158">
        <v>474354</v>
      </c>
      <c r="O13" s="155"/>
      <c r="P13" s="158">
        <v>619592</v>
      </c>
      <c r="Q13" s="155"/>
      <c r="R13" s="158">
        <v>645060</v>
      </c>
      <c r="S13" s="155"/>
      <c r="T13" s="158">
        <v>667984</v>
      </c>
      <c r="U13" s="168"/>
    </row>
    <row r="14" spans="1:21" ht="17.45" thickBot="1">
      <c r="A14" s="84" t="s">
        <v>193</v>
      </c>
      <c r="B14" s="156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94"/>
      <c r="T14" s="157"/>
      <c r="U14" s="195"/>
    </row>
    <row r="15" spans="1:21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r="16" spans="1:21" ht="17.45" thickBot="1"/>
    <row r="17" spans="1:21">
      <c r="A17" s="70"/>
      <c r="B17" s="150">
        <v>45148</v>
      </c>
      <c r="C17" s="151"/>
      <c r="D17" s="150">
        <v>45149</v>
      </c>
      <c r="E17" s="151"/>
      <c r="F17" s="150">
        <v>45150</v>
      </c>
      <c r="G17" s="151"/>
      <c r="H17" s="150">
        <v>45151</v>
      </c>
      <c r="I17" s="151"/>
      <c r="J17" s="150">
        <v>45152</v>
      </c>
      <c r="K17" s="151"/>
      <c r="L17" s="150">
        <v>45153</v>
      </c>
      <c r="M17" s="151"/>
      <c r="N17" s="150">
        <v>45154</v>
      </c>
      <c r="O17" s="151"/>
      <c r="P17" s="150">
        <v>45156</v>
      </c>
      <c r="Q17" s="151"/>
      <c r="R17" s="150">
        <v>45157</v>
      </c>
      <c r="S17" s="151"/>
      <c r="T17" s="150">
        <v>45158</v>
      </c>
      <c r="U17" s="151"/>
    </row>
    <row r="18" spans="1:21">
      <c r="A18" s="69"/>
      <c r="B18" s="152" t="s">
        <v>194</v>
      </c>
      <c r="C18" s="153"/>
      <c r="D18" s="152" t="s">
        <v>194</v>
      </c>
      <c r="E18" s="153"/>
      <c r="F18" s="152" t="s">
        <v>194</v>
      </c>
      <c r="G18" s="153"/>
      <c r="H18" s="152" t="s">
        <v>194</v>
      </c>
      <c r="I18" s="153"/>
      <c r="J18" s="152" t="s">
        <v>194</v>
      </c>
      <c r="K18" s="153"/>
      <c r="L18" s="152" t="s">
        <v>194</v>
      </c>
      <c r="M18" s="153"/>
      <c r="N18" s="152" t="s">
        <v>194</v>
      </c>
      <c r="O18" s="153"/>
      <c r="P18" s="152" t="s">
        <v>194</v>
      </c>
      <c r="Q18" s="153"/>
      <c r="R18" s="152" t="s">
        <v>194</v>
      </c>
      <c r="S18" s="153"/>
      <c r="T18" s="152" t="s">
        <v>194</v>
      </c>
      <c r="U18" s="153"/>
    </row>
    <row r="19" spans="1:21">
      <c r="A19" s="69"/>
      <c r="B19" s="152" t="s">
        <v>169</v>
      </c>
      <c r="C19" s="153"/>
      <c r="D19" s="152" t="s">
        <v>170</v>
      </c>
      <c r="E19" s="153"/>
      <c r="F19" s="152" t="s">
        <v>171</v>
      </c>
      <c r="G19" s="153"/>
      <c r="H19" s="152" t="s">
        <v>172</v>
      </c>
      <c r="I19" s="153"/>
      <c r="J19" s="152" t="s">
        <v>173</v>
      </c>
      <c r="K19" s="153"/>
      <c r="L19" s="152" t="s">
        <v>174</v>
      </c>
      <c r="M19" s="153"/>
      <c r="N19" s="152" t="s">
        <v>175</v>
      </c>
      <c r="O19" s="153"/>
      <c r="P19" s="152" t="s">
        <v>176</v>
      </c>
      <c r="Q19" s="153"/>
      <c r="R19" s="152" t="s">
        <v>177</v>
      </c>
      <c r="S19" s="167"/>
      <c r="T19" s="152" t="s">
        <v>178</v>
      </c>
      <c r="U19" s="167"/>
    </row>
    <row r="20" spans="1:21">
      <c r="A20" s="69"/>
      <c r="B20" s="152" t="s">
        <v>179</v>
      </c>
      <c r="C20" s="153"/>
      <c r="D20" s="152" t="s">
        <v>179</v>
      </c>
      <c r="E20" s="153"/>
      <c r="F20" s="152" t="s">
        <v>179</v>
      </c>
      <c r="G20" s="153"/>
      <c r="H20" s="152" t="s">
        <v>195</v>
      </c>
      <c r="I20" s="153"/>
      <c r="J20" s="152" t="s">
        <v>195</v>
      </c>
      <c r="K20" s="153"/>
      <c r="L20" s="152" t="s">
        <v>196</v>
      </c>
      <c r="M20" s="153"/>
      <c r="N20" s="152" t="s">
        <v>196</v>
      </c>
      <c r="O20" s="153"/>
      <c r="P20" s="152" t="s">
        <v>181</v>
      </c>
      <c r="Q20" s="153"/>
      <c r="R20" s="152" t="s">
        <v>181</v>
      </c>
      <c r="S20" s="153"/>
      <c r="T20" s="152" t="s">
        <v>181</v>
      </c>
      <c r="U20" s="153"/>
    </row>
    <row r="21" spans="1:21">
      <c r="A21" s="65" t="s">
        <v>182</v>
      </c>
      <c r="B21" s="68" t="s">
        <v>183</v>
      </c>
      <c r="C21" s="67" t="s">
        <v>184</v>
      </c>
      <c r="D21" s="68" t="s">
        <v>183</v>
      </c>
      <c r="E21" s="67" t="s">
        <v>184</v>
      </c>
      <c r="F21" s="68" t="s">
        <v>183</v>
      </c>
      <c r="G21" s="67" t="s">
        <v>184</v>
      </c>
      <c r="H21" s="68" t="s">
        <v>183</v>
      </c>
      <c r="I21" s="67" t="s">
        <v>184</v>
      </c>
      <c r="J21" s="68" t="s">
        <v>183</v>
      </c>
      <c r="K21" s="67" t="s">
        <v>184</v>
      </c>
      <c r="L21" s="68" t="s">
        <v>183</v>
      </c>
      <c r="M21" s="67" t="s">
        <v>184</v>
      </c>
      <c r="N21" s="68" t="s">
        <v>183</v>
      </c>
      <c r="O21" s="67" t="s">
        <v>184</v>
      </c>
      <c r="P21" s="68" t="s">
        <v>183</v>
      </c>
      <c r="Q21" s="67" t="s">
        <v>184</v>
      </c>
      <c r="R21" s="68" t="s">
        <v>183</v>
      </c>
      <c r="S21" s="67" t="s">
        <v>184</v>
      </c>
      <c r="T21" s="68" t="s">
        <v>183</v>
      </c>
      <c r="U21" s="67" t="s">
        <v>184</v>
      </c>
    </row>
    <row r="22" spans="1:21">
      <c r="A22" s="66" t="s">
        <v>185</v>
      </c>
      <c r="B22" s="71">
        <v>30495</v>
      </c>
      <c r="C22" s="72">
        <v>18151</v>
      </c>
      <c r="D22" s="71">
        <v>30931</v>
      </c>
      <c r="E22" s="72">
        <v>19147</v>
      </c>
      <c r="F22" s="71">
        <v>40032</v>
      </c>
      <c r="G22" s="72">
        <v>23388</v>
      </c>
      <c r="H22" s="71">
        <v>46260</v>
      </c>
      <c r="I22" s="72">
        <v>25221</v>
      </c>
      <c r="J22" s="71">
        <v>53041</v>
      </c>
      <c r="K22" s="72">
        <v>32227</v>
      </c>
      <c r="L22" s="71">
        <v>47061</v>
      </c>
      <c r="M22" s="72">
        <v>23574</v>
      </c>
      <c r="N22" s="71">
        <v>46976</v>
      </c>
      <c r="O22" s="72">
        <v>28056</v>
      </c>
      <c r="P22" s="71">
        <v>53620</v>
      </c>
      <c r="Q22" s="72">
        <v>29639</v>
      </c>
      <c r="R22" s="71">
        <v>57040</v>
      </c>
      <c r="S22" s="72">
        <v>30659</v>
      </c>
      <c r="T22" s="71">
        <v>68417</v>
      </c>
      <c r="U22" s="72">
        <v>40201</v>
      </c>
    </row>
    <row r="23" spans="1:21">
      <c r="A23" s="66" t="s">
        <v>186</v>
      </c>
      <c r="B23" s="71">
        <v>19945</v>
      </c>
      <c r="C23" s="72">
        <v>11527</v>
      </c>
      <c r="D23" s="71">
        <v>16298</v>
      </c>
      <c r="E23" s="72">
        <v>10686</v>
      </c>
      <c r="F23" s="71">
        <v>20167</v>
      </c>
      <c r="G23" s="72">
        <v>11892</v>
      </c>
      <c r="H23" s="71">
        <v>22815</v>
      </c>
      <c r="I23" s="72">
        <v>13862</v>
      </c>
      <c r="J23" s="71">
        <v>27258</v>
      </c>
      <c r="K23" s="72">
        <v>16193</v>
      </c>
      <c r="L23" s="71">
        <v>22682</v>
      </c>
      <c r="M23" s="72">
        <v>15576</v>
      </c>
      <c r="N23" s="71">
        <v>26610</v>
      </c>
      <c r="O23" s="72">
        <v>17450</v>
      </c>
      <c r="P23" s="71">
        <v>24088</v>
      </c>
      <c r="Q23" s="72">
        <v>14985</v>
      </c>
      <c r="R23" s="71">
        <v>25256</v>
      </c>
      <c r="S23" s="72">
        <v>16157</v>
      </c>
      <c r="T23" s="71">
        <v>30007</v>
      </c>
      <c r="U23" s="72">
        <v>19153</v>
      </c>
    </row>
    <row r="24" spans="1:21">
      <c r="A24" s="66" t="s">
        <v>187</v>
      </c>
      <c r="B24" s="71">
        <v>10938</v>
      </c>
      <c r="C24" s="72">
        <v>6425</v>
      </c>
      <c r="D24" s="71">
        <v>15502</v>
      </c>
      <c r="E24" s="72">
        <v>9624</v>
      </c>
      <c r="F24" s="71">
        <v>13842</v>
      </c>
      <c r="G24" s="72">
        <v>9051</v>
      </c>
      <c r="H24" s="71">
        <v>15732</v>
      </c>
      <c r="I24" s="72">
        <v>11217</v>
      </c>
      <c r="J24" s="71">
        <v>18474</v>
      </c>
      <c r="K24" s="72">
        <v>12049</v>
      </c>
      <c r="L24" s="71">
        <v>12624</v>
      </c>
      <c r="M24" s="72">
        <v>8825</v>
      </c>
      <c r="N24" s="71">
        <v>11035</v>
      </c>
      <c r="O24" s="72">
        <v>7948</v>
      </c>
      <c r="P24" s="71">
        <v>19103</v>
      </c>
      <c r="Q24" s="72">
        <v>13175</v>
      </c>
      <c r="R24" s="71">
        <v>16986</v>
      </c>
      <c r="S24" s="72">
        <v>12554</v>
      </c>
      <c r="T24" s="71">
        <v>17007</v>
      </c>
      <c r="U24" s="72">
        <v>12028</v>
      </c>
    </row>
    <row r="25" spans="1:21">
      <c r="A25" s="66" t="s">
        <v>188</v>
      </c>
      <c r="B25" s="71">
        <v>22682</v>
      </c>
      <c r="C25" s="72">
        <v>10769</v>
      </c>
      <c r="D25" s="71">
        <v>23814</v>
      </c>
      <c r="E25" s="72">
        <v>12855</v>
      </c>
      <c r="F25" s="71">
        <v>24830</v>
      </c>
      <c r="G25" s="72">
        <v>13669</v>
      </c>
      <c r="H25" s="71">
        <v>33044</v>
      </c>
      <c r="I25" s="72">
        <v>15644</v>
      </c>
      <c r="J25" s="71">
        <v>30605</v>
      </c>
      <c r="K25" s="72">
        <v>16577</v>
      </c>
      <c r="L25" s="71">
        <v>23721</v>
      </c>
      <c r="M25" s="72">
        <v>13195</v>
      </c>
      <c r="N25" s="71">
        <v>24738</v>
      </c>
      <c r="O25" s="72">
        <v>12979</v>
      </c>
      <c r="P25" s="71">
        <v>31937</v>
      </c>
      <c r="Q25" s="72">
        <v>19281</v>
      </c>
      <c r="R25" s="71">
        <v>37898</v>
      </c>
      <c r="S25" s="72">
        <v>18948</v>
      </c>
      <c r="T25" s="71">
        <v>43846</v>
      </c>
      <c r="U25" s="72">
        <v>25406</v>
      </c>
    </row>
    <row r="26" spans="1:21">
      <c r="A26" s="66" t="s">
        <v>189</v>
      </c>
      <c r="B26" s="71">
        <v>5031</v>
      </c>
      <c r="C26" s="72">
        <v>3631</v>
      </c>
      <c r="D26" s="71">
        <v>4738</v>
      </c>
      <c r="E26" s="72">
        <v>3540</v>
      </c>
      <c r="F26" s="71">
        <v>4561</v>
      </c>
      <c r="G26" s="72">
        <v>3157</v>
      </c>
      <c r="H26" s="71">
        <v>4736</v>
      </c>
      <c r="I26" s="72">
        <v>3605</v>
      </c>
      <c r="J26" s="71">
        <v>5631</v>
      </c>
      <c r="K26" s="72">
        <v>3672</v>
      </c>
      <c r="L26" s="71">
        <v>5450</v>
      </c>
      <c r="M26" s="72">
        <v>4054</v>
      </c>
      <c r="N26" s="71">
        <v>5225</v>
      </c>
      <c r="O26" s="72">
        <v>3684</v>
      </c>
      <c r="P26" s="71">
        <v>7541</v>
      </c>
      <c r="Q26" s="72">
        <v>5211</v>
      </c>
      <c r="R26" s="71">
        <v>7578</v>
      </c>
      <c r="S26" s="72">
        <v>5753</v>
      </c>
      <c r="T26" s="71">
        <v>10361</v>
      </c>
      <c r="U26" s="72">
        <v>7157</v>
      </c>
    </row>
    <row r="27" spans="1:21">
      <c r="A27" s="66" t="s">
        <v>190</v>
      </c>
      <c r="B27" s="71">
        <v>2795</v>
      </c>
      <c r="C27" s="72">
        <v>2017</v>
      </c>
      <c r="D27" s="71">
        <v>3005</v>
      </c>
      <c r="E27" s="72">
        <v>2073</v>
      </c>
      <c r="F27" s="71">
        <v>3422</v>
      </c>
      <c r="G27" s="72">
        <v>2201</v>
      </c>
      <c r="H27" s="71">
        <v>3269</v>
      </c>
      <c r="I27" s="72">
        <v>2260</v>
      </c>
      <c r="J27" s="71">
        <v>3691</v>
      </c>
      <c r="K27" s="72">
        <v>2462</v>
      </c>
      <c r="L27" s="71">
        <v>2997</v>
      </c>
      <c r="M27" s="72">
        <v>2063</v>
      </c>
      <c r="N27" s="71">
        <v>3108</v>
      </c>
      <c r="O27" s="72">
        <v>2174</v>
      </c>
      <c r="P27" s="71">
        <v>3859</v>
      </c>
      <c r="Q27" s="72">
        <v>2750</v>
      </c>
      <c r="R27" s="71">
        <v>4060</v>
      </c>
      <c r="S27" s="72">
        <v>2943</v>
      </c>
      <c r="T27" s="71">
        <v>5758</v>
      </c>
      <c r="U27" s="72">
        <v>3688</v>
      </c>
    </row>
    <row r="28" spans="1:21" ht="17.45" thickBot="1">
      <c r="A28" s="82" t="s">
        <v>191</v>
      </c>
      <c r="B28" s="79">
        <v>89915</v>
      </c>
      <c r="C28" s="80">
        <v>59505</v>
      </c>
      <c r="D28" s="79">
        <v>89236</v>
      </c>
      <c r="E28" s="80">
        <v>64752</v>
      </c>
      <c r="F28" s="79">
        <v>101786</v>
      </c>
      <c r="G28" s="80">
        <v>69597</v>
      </c>
      <c r="H28" s="79">
        <v>108477</v>
      </c>
      <c r="I28" s="80">
        <v>78633</v>
      </c>
      <c r="J28" s="79">
        <v>127741</v>
      </c>
      <c r="K28" s="80">
        <v>89766</v>
      </c>
      <c r="L28" s="79">
        <v>103406</v>
      </c>
      <c r="M28" s="80">
        <v>74175</v>
      </c>
      <c r="N28" s="79">
        <v>113662</v>
      </c>
      <c r="O28" s="80">
        <v>78557</v>
      </c>
      <c r="P28" s="79">
        <v>135916</v>
      </c>
      <c r="Q28" s="80">
        <v>93160</v>
      </c>
      <c r="R28" s="79">
        <v>134876</v>
      </c>
      <c r="S28" s="80">
        <v>95195</v>
      </c>
      <c r="T28" s="79">
        <v>163428</v>
      </c>
      <c r="U28" s="80">
        <v>116399</v>
      </c>
    </row>
    <row r="29" spans="1:21" ht="51" customHeight="1">
      <c r="A29" s="86" t="s">
        <v>192</v>
      </c>
      <c r="B29" s="154">
        <v>589261</v>
      </c>
      <c r="C29" s="155"/>
      <c r="D29" s="158">
        <v>482489</v>
      </c>
      <c r="E29" s="155"/>
      <c r="F29" s="158">
        <v>487975</v>
      </c>
      <c r="G29" s="155"/>
      <c r="H29" s="158">
        <v>507966</v>
      </c>
      <c r="I29" s="155"/>
      <c r="J29" s="158">
        <v>578941</v>
      </c>
      <c r="K29" s="155"/>
      <c r="L29" s="158">
        <v>518297</v>
      </c>
      <c r="M29" s="155"/>
      <c r="N29" s="158">
        <v>462125</v>
      </c>
      <c r="O29" s="155"/>
      <c r="P29" s="158">
        <v>701409</v>
      </c>
      <c r="Q29" s="155"/>
      <c r="R29" s="158">
        <v>606169</v>
      </c>
      <c r="S29" s="155"/>
      <c r="T29" s="158">
        <v>671101</v>
      </c>
      <c r="U29" s="168"/>
    </row>
    <row r="30" spans="1:21" ht="17.45" thickBot="1">
      <c r="A30" s="84" t="s">
        <v>193</v>
      </c>
      <c r="B30" s="156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94"/>
      <c r="T30" s="157"/>
      <c r="U30" s="195"/>
    </row>
    <row r="31" spans="1:21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 spans="1:21" ht="17.45" thickBot="1"/>
    <row r="33" spans="1:21">
      <c r="A33" s="70"/>
      <c r="B33" s="150">
        <v>45432</v>
      </c>
      <c r="C33" s="151"/>
      <c r="D33" s="150">
        <v>45433</v>
      </c>
      <c r="E33" s="151"/>
      <c r="F33" s="150">
        <v>45434</v>
      </c>
      <c r="G33" s="151"/>
      <c r="H33" s="150">
        <v>45436</v>
      </c>
      <c r="I33" s="151"/>
      <c r="J33" s="150">
        <v>45437</v>
      </c>
      <c r="K33" s="151"/>
      <c r="L33" s="150">
        <v>45438</v>
      </c>
      <c r="M33" s="151"/>
      <c r="N33" s="73"/>
      <c r="O33" s="73"/>
      <c r="P33" s="73"/>
      <c r="Q33" s="73"/>
      <c r="R33" s="73"/>
      <c r="S33" s="73"/>
      <c r="T33" s="73"/>
      <c r="U33" s="73"/>
    </row>
    <row r="34" spans="1:21">
      <c r="A34" s="69"/>
      <c r="B34" s="152" t="s">
        <v>197</v>
      </c>
      <c r="C34" s="153"/>
      <c r="D34" s="152" t="s">
        <v>197</v>
      </c>
      <c r="E34" s="153"/>
      <c r="F34" s="152" t="s">
        <v>197</v>
      </c>
      <c r="G34" s="153"/>
      <c r="H34" s="152" t="s">
        <v>197</v>
      </c>
      <c r="I34" s="153"/>
      <c r="J34" s="152" t="s">
        <v>197</v>
      </c>
      <c r="K34" s="153"/>
      <c r="L34" s="152" t="s">
        <v>197</v>
      </c>
      <c r="M34" s="153"/>
      <c r="N34" s="73"/>
      <c r="O34" s="73"/>
      <c r="P34" s="73"/>
      <c r="Q34" s="73"/>
      <c r="R34" s="73"/>
      <c r="S34" s="73"/>
      <c r="T34" s="73"/>
      <c r="U34" s="73"/>
    </row>
    <row r="35" spans="1:21">
      <c r="A35" s="69"/>
      <c r="B35" s="152" t="s">
        <v>169</v>
      </c>
      <c r="C35" s="153"/>
      <c r="D35" s="152" t="s">
        <v>170</v>
      </c>
      <c r="E35" s="153"/>
      <c r="F35" s="152" t="s">
        <v>171</v>
      </c>
      <c r="G35" s="153"/>
      <c r="H35" s="152" t="s">
        <v>172</v>
      </c>
      <c r="I35" s="153"/>
      <c r="J35" s="152" t="s">
        <v>173</v>
      </c>
      <c r="K35" s="153"/>
      <c r="L35" s="152" t="s">
        <v>174</v>
      </c>
      <c r="M35" s="153"/>
      <c r="N35" s="73"/>
      <c r="O35" s="73"/>
      <c r="P35" s="73"/>
      <c r="Q35" s="73"/>
      <c r="R35" s="73"/>
      <c r="S35" s="73"/>
      <c r="T35" s="73"/>
      <c r="U35" s="73"/>
    </row>
    <row r="36" spans="1:21">
      <c r="A36" s="69"/>
      <c r="B36" s="152" t="s">
        <v>179</v>
      </c>
      <c r="C36" s="153"/>
      <c r="D36" s="152" t="s">
        <v>179</v>
      </c>
      <c r="E36" s="153"/>
      <c r="F36" s="152" t="s">
        <v>179</v>
      </c>
      <c r="G36" s="153"/>
      <c r="H36" s="152" t="s">
        <v>181</v>
      </c>
      <c r="I36" s="153"/>
      <c r="J36" s="152" t="s">
        <v>181</v>
      </c>
      <c r="K36" s="153"/>
      <c r="L36" s="152" t="s">
        <v>181</v>
      </c>
      <c r="M36" s="153"/>
      <c r="N36" s="73"/>
      <c r="O36" s="73"/>
      <c r="P36" s="73"/>
      <c r="Q36" s="73"/>
      <c r="R36" s="73"/>
      <c r="S36" s="73"/>
      <c r="T36" s="73"/>
      <c r="U36" s="73"/>
    </row>
    <row r="37" spans="1:21">
      <c r="A37" s="65" t="s">
        <v>182</v>
      </c>
      <c r="B37" s="68" t="s">
        <v>183</v>
      </c>
      <c r="C37" s="67" t="s">
        <v>184</v>
      </c>
      <c r="D37" s="68" t="s">
        <v>183</v>
      </c>
      <c r="E37" s="67" t="s">
        <v>184</v>
      </c>
      <c r="F37" s="68" t="s">
        <v>183</v>
      </c>
      <c r="G37" s="67" t="s">
        <v>184</v>
      </c>
      <c r="H37" s="68" t="s">
        <v>183</v>
      </c>
      <c r="I37" s="67" t="s">
        <v>184</v>
      </c>
      <c r="J37" s="68" t="s">
        <v>183</v>
      </c>
      <c r="K37" s="67" t="s">
        <v>184</v>
      </c>
      <c r="L37" s="68" t="s">
        <v>183</v>
      </c>
      <c r="M37" s="67" t="s">
        <v>184</v>
      </c>
      <c r="N37" s="73"/>
      <c r="O37" s="73"/>
      <c r="P37" s="73"/>
      <c r="Q37" s="73"/>
      <c r="R37" s="73"/>
      <c r="S37" s="73"/>
      <c r="T37" s="73"/>
      <c r="U37" s="73"/>
    </row>
    <row r="38" spans="1:21">
      <c r="A38" s="66" t="s">
        <v>185</v>
      </c>
      <c r="B38" s="71">
        <v>21403</v>
      </c>
      <c r="C38" s="72">
        <v>13267</v>
      </c>
      <c r="D38" s="71">
        <v>56412</v>
      </c>
      <c r="E38" s="72">
        <v>31300</v>
      </c>
      <c r="F38" s="71">
        <v>52049</v>
      </c>
      <c r="G38" s="72">
        <v>33066</v>
      </c>
      <c r="H38" s="71">
        <v>209085</v>
      </c>
      <c r="I38" s="72">
        <v>109973</v>
      </c>
      <c r="J38" s="71">
        <v>105567</v>
      </c>
      <c r="K38" s="72">
        <v>59855</v>
      </c>
      <c r="L38" s="71">
        <v>157999</v>
      </c>
      <c r="M38" s="72">
        <v>91156</v>
      </c>
      <c r="N38" s="73"/>
      <c r="O38" s="73"/>
      <c r="P38" s="73"/>
      <c r="Q38" s="73"/>
      <c r="R38" s="73"/>
      <c r="S38" s="73"/>
      <c r="T38" s="73"/>
      <c r="U38" s="73"/>
    </row>
    <row r="39" spans="1:21">
      <c r="A39" s="66" t="s">
        <v>186</v>
      </c>
      <c r="B39" s="71">
        <v>17368</v>
      </c>
      <c r="C39" s="72">
        <v>10697</v>
      </c>
      <c r="D39" s="71">
        <v>15203</v>
      </c>
      <c r="E39" s="72">
        <v>10008</v>
      </c>
      <c r="F39" s="71">
        <v>19379</v>
      </c>
      <c r="G39" s="72">
        <v>6246</v>
      </c>
      <c r="H39" s="71">
        <v>17741</v>
      </c>
      <c r="I39" s="72">
        <v>11539</v>
      </c>
      <c r="J39" s="71">
        <v>20330</v>
      </c>
      <c r="K39" s="72">
        <v>12271</v>
      </c>
      <c r="L39" s="71">
        <v>28297</v>
      </c>
      <c r="M39" s="72">
        <v>17712</v>
      </c>
      <c r="N39" s="73"/>
      <c r="O39" s="73"/>
      <c r="P39" s="73"/>
      <c r="Q39" s="73"/>
      <c r="R39" s="73"/>
      <c r="S39" s="73"/>
      <c r="T39" s="73"/>
      <c r="U39" s="73"/>
    </row>
    <row r="40" spans="1:21">
      <c r="A40" s="66" t="s">
        <v>187</v>
      </c>
      <c r="B40" s="71">
        <v>11500</v>
      </c>
      <c r="C40" s="72">
        <v>7561</v>
      </c>
      <c r="D40" s="71">
        <v>8257</v>
      </c>
      <c r="E40" s="72">
        <v>6010</v>
      </c>
      <c r="F40" s="71">
        <v>10008</v>
      </c>
      <c r="G40" s="72">
        <v>5623</v>
      </c>
      <c r="H40" s="71">
        <v>22804</v>
      </c>
      <c r="I40" s="72">
        <v>11657</v>
      </c>
      <c r="J40" s="71">
        <v>24915</v>
      </c>
      <c r="K40" s="72">
        <v>10282</v>
      </c>
      <c r="L40" s="71">
        <v>33852</v>
      </c>
      <c r="M40" s="72">
        <v>15028</v>
      </c>
      <c r="N40" s="73"/>
      <c r="O40" s="73"/>
      <c r="P40" s="73"/>
      <c r="Q40" s="73"/>
      <c r="R40" s="73"/>
      <c r="S40" s="73"/>
      <c r="T40" s="73"/>
      <c r="U40" s="73"/>
    </row>
    <row r="41" spans="1:21">
      <c r="A41" s="66" t="s">
        <v>188</v>
      </c>
      <c r="B41" s="71">
        <v>24239</v>
      </c>
      <c r="C41" s="72">
        <v>17978</v>
      </c>
      <c r="D41" s="71">
        <v>17617</v>
      </c>
      <c r="E41" s="72">
        <v>13302</v>
      </c>
      <c r="F41" s="71">
        <v>23074</v>
      </c>
      <c r="G41" s="72">
        <v>14561</v>
      </c>
      <c r="H41" s="71">
        <v>20867</v>
      </c>
      <c r="I41" s="72">
        <v>16535</v>
      </c>
      <c r="J41" s="71">
        <v>23437</v>
      </c>
      <c r="K41" s="72">
        <v>18107</v>
      </c>
      <c r="L41" s="71">
        <v>31385</v>
      </c>
      <c r="M41" s="72">
        <v>22693</v>
      </c>
      <c r="N41" s="73"/>
      <c r="O41" s="73"/>
      <c r="P41" s="73"/>
      <c r="Q41" s="73"/>
      <c r="R41" s="73"/>
      <c r="S41" s="73"/>
      <c r="T41" s="73"/>
      <c r="U41" s="73"/>
    </row>
    <row r="42" spans="1:21">
      <c r="A42" s="66" t="s">
        <v>189</v>
      </c>
      <c r="B42" s="71">
        <v>5162</v>
      </c>
      <c r="C42" s="72">
        <v>4045</v>
      </c>
      <c r="D42" s="71">
        <v>5710</v>
      </c>
      <c r="E42" s="72">
        <v>4312</v>
      </c>
      <c r="F42" s="71">
        <v>6323</v>
      </c>
      <c r="G42" s="72">
        <v>4212</v>
      </c>
      <c r="H42" s="71">
        <v>6697</v>
      </c>
      <c r="I42" s="72">
        <v>5104</v>
      </c>
      <c r="J42" s="71">
        <v>7394</v>
      </c>
      <c r="K42" s="72">
        <v>5263</v>
      </c>
      <c r="L42" s="71">
        <v>9578</v>
      </c>
      <c r="M42" s="72">
        <v>7196</v>
      </c>
      <c r="N42" s="73"/>
      <c r="O42" s="73"/>
      <c r="P42" s="73"/>
      <c r="Q42" s="73"/>
      <c r="R42" s="73"/>
      <c r="S42" s="73"/>
      <c r="T42" s="73"/>
      <c r="U42" s="73"/>
    </row>
    <row r="43" spans="1:21">
      <c r="A43" s="66" t="s">
        <v>190</v>
      </c>
      <c r="B43" s="71">
        <v>4701</v>
      </c>
      <c r="C43" s="72">
        <v>3098</v>
      </c>
      <c r="D43" s="71">
        <v>4707</v>
      </c>
      <c r="E43" s="72">
        <v>2829</v>
      </c>
      <c r="F43" s="71">
        <v>8269</v>
      </c>
      <c r="G43" s="72">
        <v>5132</v>
      </c>
      <c r="H43" s="71">
        <v>4727</v>
      </c>
      <c r="I43" s="72">
        <v>3073</v>
      </c>
      <c r="J43" s="71">
        <v>4964</v>
      </c>
      <c r="K43" s="72">
        <v>3134</v>
      </c>
      <c r="L43" s="71">
        <v>9348</v>
      </c>
      <c r="M43" s="72">
        <v>5912</v>
      </c>
      <c r="N43" s="73"/>
      <c r="O43" s="73"/>
      <c r="P43" s="73"/>
      <c r="Q43" s="73"/>
      <c r="R43" s="73"/>
      <c r="S43" s="73"/>
      <c r="T43" s="73"/>
      <c r="U43" s="73"/>
    </row>
    <row r="44" spans="1:21" ht="17.45" thickBot="1">
      <c r="A44" s="82" t="s">
        <v>191</v>
      </c>
      <c r="B44" s="79">
        <v>88991</v>
      </c>
      <c r="C44" s="80">
        <v>64404</v>
      </c>
      <c r="D44" s="79">
        <v>112225</v>
      </c>
      <c r="E44" s="80">
        <v>74278</v>
      </c>
      <c r="F44" s="79">
        <v>126785</v>
      </c>
      <c r="G44" s="80">
        <v>73881</v>
      </c>
      <c r="H44" s="79">
        <v>281899</v>
      </c>
      <c r="I44" s="80">
        <v>166803</v>
      </c>
      <c r="J44" s="79">
        <v>178580</v>
      </c>
      <c r="K44" s="80">
        <v>118086</v>
      </c>
      <c r="L44" s="79">
        <v>258083</v>
      </c>
      <c r="M44" s="80">
        <v>172183</v>
      </c>
      <c r="N44" s="73"/>
      <c r="O44" s="73"/>
      <c r="P44" s="73"/>
      <c r="Q44" s="73"/>
      <c r="R44" s="73"/>
      <c r="S44" s="73"/>
      <c r="T44" s="73"/>
      <c r="U44" s="73"/>
    </row>
    <row r="45" spans="1:21">
      <c r="A45" s="83" t="s">
        <v>198</v>
      </c>
      <c r="B45" s="162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60"/>
      <c r="N45" s="81"/>
      <c r="O45" s="81"/>
      <c r="P45" s="81"/>
      <c r="Q45" s="81"/>
      <c r="R45" s="81"/>
      <c r="S45" s="81"/>
      <c r="T45" s="81"/>
      <c r="U45" s="81"/>
    </row>
    <row r="46" spans="1:21" ht="17.45" thickBot="1">
      <c r="A46" s="84" t="s">
        <v>193</v>
      </c>
      <c r="B46" s="156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61"/>
      <c r="N46" s="81"/>
      <c r="O46" s="81"/>
      <c r="P46" s="81"/>
      <c r="Q46" s="81"/>
      <c r="R46" s="81"/>
      <c r="S46" s="81"/>
      <c r="T46" s="81"/>
      <c r="U46" s="81"/>
    </row>
    <row r="47" spans="1:21"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3"/>
      <c r="O47" s="73"/>
      <c r="P47" s="73"/>
      <c r="Q47" s="73"/>
      <c r="R47" s="73"/>
      <c r="S47" s="73"/>
      <c r="T47" s="73"/>
      <c r="U47" s="73"/>
    </row>
    <row r="48" spans="1:21" ht="17.45" thickBot="1"/>
    <row r="49" spans="1:21">
      <c r="A49" s="70"/>
      <c r="B49" s="150">
        <v>45446</v>
      </c>
      <c r="C49" s="151"/>
      <c r="D49" s="150">
        <v>45447</v>
      </c>
      <c r="E49" s="151"/>
      <c r="F49" s="150">
        <v>45448</v>
      </c>
      <c r="G49" s="151"/>
      <c r="H49" s="150">
        <v>45450</v>
      </c>
      <c r="I49" s="151"/>
      <c r="J49" s="150">
        <v>45451</v>
      </c>
      <c r="K49" s="151"/>
      <c r="L49" s="150">
        <v>45452</v>
      </c>
      <c r="M49" s="151"/>
      <c r="N49" s="73"/>
      <c r="O49" s="73"/>
      <c r="P49" s="73"/>
      <c r="Q49" s="73"/>
      <c r="R49" s="73"/>
      <c r="S49" s="73"/>
      <c r="T49" s="73"/>
      <c r="U49" s="73"/>
    </row>
    <row r="50" spans="1:21">
      <c r="A50" s="69"/>
      <c r="B50" s="152" t="s">
        <v>199</v>
      </c>
      <c r="C50" s="153"/>
      <c r="D50" s="152" t="s">
        <v>199</v>
      </c>
      <c r="E50" s="153"/>
      <c r="F50" s="152" t="s">
        <v>199</v>
      </c>
      <c r="G50" s="153"/>
      <c r="H50" s="152" t="s">
        <v>199</v>
      </c>
      <c r="I50" s="153"/>
      <c r="J50" s="152" t="s">
        <v>199</v>
      </c>
      <c r="K50" s="153"/>
      <c r="L50" s="152" t="s">
        <v>199</v>
      </c>
      <c r="M50" s="153"/>
      <c r="N50" s="73"/>
      <c r="O50" s="73"/>
      <c r="P50" s="73"/>
      <c r="Q50" s="73"/>
      <c r="R50" s="73"/>
      <c r="S50" s="73"/>
      <c r="T50" s="73"/>
      <c r="U50" s="73"/>
    </row>
    <row r="51" spans="1:21">
      <c r="A51" s="69"/>
      <c r="B51" s="152" t="s">
        <v>169</v>
      </c>
      <c r="C51" s="153"/>
      <c r="D51" s="152" t="s">
        <v>170</v>
      </c>
      <c r="E51" s="153"/>
      <c r="F51" s="152" t="s">
        <v>171</v>
      </c>
      <c r="G51" s="153"/>
      <c r="H51" s="152" t="s">
        <v>172</v>
      </c>
      <c r="I51" s="153"/>
      <c r="J51" s="152" t="s">
        <v>173</v>
      </c>
      <c r="K51" s="153"/>
      <c r="L51" s="152" t="s">
        <v>174</v>
      </c>
      <c r="M51" s="153"/>
      <c r="N51" s="73"/>
      <c r="O51" s="73"/>
      <c r="P51" s="73"/>
      <c r="Q51" s="73"/>
      <c r="R51" s="73"/>
      <c r="S51" s="73"/>
      <c r="T51" s="73"/>
      <c r="U51" s="73"/>
    </row>
    <row r="52" spans="1:21">
      <c r="A52" s="69"/>
      <c r="B52" s="152" t="s">
        <v>179</v>
      </c>
      <c r="C52" s="153"/>
      <c r="D52" s="152" t="s">
        <v>179</v>
      </c>
      <c r="E52" s="153"/>
      <c r="F52" s="152" t="s">
        <v>179</v>
      </c>
      <c r="G52" s="153"/>
      <c r="H52" s="152" t="s">
        <v>181</v>
      </c>
      <c r="I52" s="153"/>
      <c r="J52" s="152" t="s">
        <v>181</v>
      </c>
      <c r="K52" s="153"/>
      <c r="L52" s="152" t="s">
        <v>181</v>
      </c>
      <c r="M52" s="153"/>
      <c r="N52" s="73"/>
      <c r="O52" s="73"/>
      <c r="P52" s="73"/>
      <c r="Q52" s="73"/>
      <c r="R52" s="73"/>
      <c r="S52" s="73"/>
      <c r="T52" s="73"/>
      <c r="U52" s="73"/>
    </row>
    <row r="53" spans="1:21">
      <c r="A53" s="65" t="s">
        <v>182</v>
      </c>
      <c r="B53" s="68" t="s">
        <v>183</v>
      </c>
      <c r="C53" s="67" t="s">
        <v>184</v>
      </c>
      <c r="D53" s="68" t="s">
        <v>183</v>
      </c>
      <c r="E53" s="67" t="s">
        <v>184</v>
      </c>
      <c r="F53" s="68" t="s">
        <v>183</v>
      </c>
      <c r="G53" s="67" t="s">
        <v>184</v>
      </c>
      <c r="H53" s="68" t="s">
        <v>183</v>
      </c>
      <c r="I53" s="67" t="s">
        <v>184</v>
      </c>
      <c r="J53" s="68" t="s">
        <v>183</v>
      </c>
      <c r="K53" s="67" t="s">
        <v>184</v>
      </c>
      <c r="L53" s="68" t="s">
        <v>183</v>
      </c>
      <c r="M53" s="67" t="s">
        <v>184</v>
      </c>
      <c r="N53" s="73"/>
      <c r="O53" s="73"/>
      <c r="P53" s="73"/>
      <c r="Q53" s="73"/>
      <c r="R53" s="73"/>
      <c r="S53" s="73"/>
      <c r="T53" s="73"/>
      <c r="U53" s="73"/>
    </row>
    <row r="54" spans="1:21">
      <c r="A54" s="66" t="s">
        <v>185</v>
      </c>
      <c r="B54" s="71">
        <v>97947</v>
      </c>
      <c r="C54" s="72">
        <v>55691</v>
      </c>
      <c r="D54" s="71">
        <v>40643</v>
      </c>
      <c r="E54" s="72">
        <v>29757</v>
      </c>
      <c r="F54" s="71">
        <v>76277</v>
      </c>
      <c r="G54" s="72">
        <v>52817</v>
      </c>
      <c r="H54" s="71">
        <v>154528</v>
      </c>
      <c r="I54" s="72">
        <v>90421</v>
      </c>
      <c r="J54" s="71">
        <v>168522</v>
      </c>
      <c r="K54" s="72">
        <v>91314</v>
      </c>
      <c r="L54" s="71">
        <v>187420</v>
      </c>
      <c r="M54" s="72">
        <v>102811</v>
      </c>
      <c r="N54" s="73"/>
      <c r="O54" s="73"/>
      <c r="P54" s="73"/>
      <c r="Q54" s="73"/>
      <c r="R54" s="73"/>
      <c r="S54" s="73"/>
      <c r="T54" s="73"/>
      <c r="U54" s="73"/>
    </row>
    <row r="55" spans="1:21">
      <c r="A55" s="66" t="s">
        <v>186</v>
      </c>
      <c r="B55" s="71">
        <v>18441</v>
      </c>
      <c r="C55" s="72">
        <v>11954</v>
      </c>
      <c r="D55" s="71">
        <v>10643</v>
      </c>
      <c r="E55" s="72">
        <v>7119</v>
      </c>
      <c r="F55" s="71">
        <v>14637</v>
      </c>
      <c r="G55" s="72">
        <v>10332</v>
      </c>
      <c r="H55" s="71">
        <v>21968</v>
      </c>
      <c r="I55" s="72">
        <v>13107</v>
      </c>
      <c r="J55" s="71">
        <v>27222</v>
      </c>
      <c r="K55" s="72">
        <v>17527</v>
      </c>
      <c r="L55" s="71">
        <v>43252</v>
      </c>
      <c r="M55" s="72">
        <v>27104</v>
      </c>
      <c r="N55" s="73"/>
      <c r="O55" s="73"/>
      <c r="P55" s="73"/>
      <c r="Q55" s="73"/>
      <c r="R55" s="73"/>
      <c r="S55" s="73"/>
      <c r="T55" s="73"/>
      <c r="U55" s="73"/>
    </row>
    <row r="56" spans="1:21">
      <c r="A56" s="66" t="s">
        <v>187</v>
      </c>
      <c r="B56" s="71">
        <v>7518</v>
      </c>
      <c r="C56" s="72">
        <v>5566</v>
      </c>
      <c r="D56" s="71">
        <v>9146</v>
      </c>
      <c r="E56" s="72">
        <v>6494</v>
      </c>
      <c r="F56" s="71">
        <v>10379</v>
      </c>
      <c r="G56" s="72">
        <v>6625</v>
      </c>
      <c r="H56" s="71">
        <v>20603</v>
      </c>
      <c r="I56" s="72">
        <v>9406</v>
      </c>
      <c r="J56" s="71">
        <v>23509</v>
      </c>
      <c r="K56" s="72">
        <v>11532</v>
      </c>
      <c r="L56" s="71">
        <v>26014</v>
      </c>
      <c r="M56" s="72">
        <v>10748</v>
      </c>
      <c r="N56" s="73"/>
      <c r="O56" s="73"/>
      <c r="P56" s="73"/>
      <c r="Q56" s="73"/>
      <c r="R56" s="73"/>
      <c r="S56" s="73"/>
      <c r="T56" s="73"/>
      <c r="U56" s="73"/>
    </row>
    <row r="57" spans="1:21">
      <c r="A57" s="66" t="s">
        <v>188</v>
      </c>
      <c r="B57" s="71">
        <v>18555</v>
      </c>
      <c r="C57" s="72">
        <v>13175</v>
      </c>
      <c r="D57" s="71">
        <v>16896</v>
      </c>
      <c r="E57" s="72">
        <v>13111</v>
      </c>
      <c r="F57" s="71">
        <v>16000</v>
      </c>
      <c r="G57" s="72">
        <v>12624</v>
      </c>
      <c r="H57" s="71">
        <v>16676</v>
      </c>
      <c r="I57" s="72">
        <v>12775</v>
      </c>
      <c r="J57" s="71">
        <v>16855</v>
      </c>
      <c r="K57" s="72">
        <v>14024</v>
      </c>
      <c r="L57" s="71">
        <v>22834</v>
      </c>
      <c r="M57" s="72">
        <v>16482</v>
      </c>
      <c r="N57" s="73"/>
      <c r="O57" s="73"/>
      <c r="P57" s="73"/>
      <c r="Q57" s="73"/>
      <c r="R57" s="73"/>
      <c r="S57" s="73"/>
      <c r="T57" s="73"/>
      <c r="U57" s="73"/>
    </row>
    <row r="58" spans="1:21">
      <c r="A58" s="66" t="s">
        <v>189</v>
      </c>
      <c r="B58" s="71">
        <v>4105</v>
      </c>
      <c r="C58" s="72">
        <v>3144</v>
      </c>
      <c r="D58" s="71">
        <v>6042</v>
      </c>
      <c r="E58" s="72">
        <v>4302</v>
      </c>
      <c r="F58" s="71">
        <v>6192</v>
      </c>
      <c r="G58" s="72">
        <v>4576</v>
      </c>
      <c r="H58" s="71">
        <v>6671</v>
      </c>
      <c r="I58" s="72">
        <v>5104</v>
      </c>
      <c r="J58" s="71">
        <v>8229</v>
      </c>
      <c r="K58" s="72">
        <v>6158</v>
      </c>
      <c r="L58" s="71">
        <v>12841</v>
      </c>
      <c r="M58" s="72">
        <v>8308</v>
      </c>
      <c r="N58" s="73"/>
      <c r="O58" s="73"/>
      <c r="P58" s="73"/>
      <c r="Q58" s="73"/>
      <c r="R58" s="73"/>
      <c r="S58" s="73"/>
      <c r="T58" s="73"/>
      <c r="U58" s="73"/>
    </row>
    <row r="59" spans="1:21">
      <c r="A59" s="66" t="s">
        <v>190</v>
      </c>
      <c r="B59" s="71">
        <v>6201</v>
      </c>
      <c r="C59" s="72">
        <v>4379</v>
      </c>
      <c r="D59" s="71">
        <v>7272</v>
      </c>
      <c r="E59" s="72">
        <v>4920</v>
      </c>
      <c r="F59" s="71">
        <v>5884</v>
      </c>
      <c r="G59" s="72">
        <v>3881</v>
      </c>
      <c r="H59" s="71">
        <v>7200</v>
      </c>
      <c r="I59" s="72">
        <v>4755</v>
      </c>
      <c r="J59" s="71">
        <v>8696</v>
      </c>
      <c r="K59" s="72">
        <v>5835</v>
      </c>
      <c r="L59" s="71">
        <v>9426</v>
      </c>
      <c r="M59" s="72">
        <v>5483</v>
      </c>
      <c r="N59" s="73"/>
      <c r="O59" s="73"/>
      <c r="P59" s="73"/>
      <c r="Q59" s="73"/>
      <c r="R59" s="73"/>
      <c r="S59" s="73"/>
      <c r="T59" s="73"/>
      <c r="U59" s="73"/>
    </row>
    <row r="60" spans="1:21" ht="17.45" thickBot="1">
      <c r="A60" s="82" t="s">
        <v>191</v>
      </c>
      <c r="B60" s="79">
        <v>159939</v>
      </c>
      <c r="C60" s="80">
        <v>101130</v>
      </c>
      <c r="D60" s="79">
        <v>94854</v>
      </c>
      <c r="E60" s="80">
        <v>71085</v>
      </c>
      <c r="F60" s="79">
        <v>137690</v>
      </c>
      <c r="G60" s="80">
        <v>99758</v>
      </c>
      <c r="H60" s="79">
        <v>228199</v>
      </c>
      <c r="I60" s="80">
        <v>146366</v>
      </c>
      <c r="J60" s="79">
        <v>236678</v>
      </c>
      <c r="K60" s="80">
        <v>154808</v>
      </c>
      <c r="L60" s="79">
        <v>287530</v>
      </c>
      <c r="M60" s="80">
        <v>182555</v>
      </c>
      <c r="N60" s="73"/>
      <c r="O60" s="73"/>
      <c r="P60" s="73"/>
      <c r="Q60" s="73"/>
      <c r="R60" s="73"/>
      <c r="S60" s="73"/>
      <c r="T60" s="73"/>
      <c r="U60" s="73"/>
    </row>
    <row r="61" spans="1:21">
      <c r="A61" s="83" t="s">
        <v>198</v>
      </c>
      <c r="B61" s="162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60"/>
      <c r="N61" s="81"/>
      <c r="O61" s="81"/>
      <c r="P61" s="81"/>
      <c r="Q61" s="81"/>
      <c r="R61" s="81"/>
      <c r="S61" s="81"/>
      <c r="T61" s="81"/>
      <c r="U61" s="81"/>
    </row>
    <row r="62" spans="1:21" ht="17.45" thickBot="1">
      <c r="A62" s="84" t="s">
        <v>193</v>
      </c>
      <c r="B62" s="156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61"/>
      <c r="N62" s="81"/>
      <c r="O62" s="81"/>
      <c r="P62" s="81"/>
      <c r="Q62" s="81"/>
      <c r="R62" s="81"/>
      <c r="S62" s="81"/>
      <c r="T62" s="81"/>
      <c r="U62" s="81"/>
    </row>
    <row r="63" spans="1:21"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3"/>
      <c r="O63" s="73"/>
      <c r="P63" s="73"/>
      <c r="Q63" s="73"/>
      <c r="R63" s="73"/>
      <c r="S63" s="73"/>
      <c r="T63" s="73"/>
      <c r="U63" s="73"/>
    </row>
    <row r="64" spans="1:21" ht="17.45" thickBot="1"/>
    <row r="65" spans="1:21">
      <c r="A65" s="70"/>
      <c r="B65" s="150">
        <v>45586</v>
      </c>
      <c r="C65" s="151"/>
      <c r="D65" s="150">
        <v>45587</v>
      </c>
      <c r="E65" s="151"/>
      <c r="F65" s="150">
        <v>45588</v>
      </c>
      <c r="G65" s="151"/>
      <c r="H65" s="150">
        <v>45590</v>
      </c>
      <c r="I65" s="151"/>
      <c r="J65" s="150">
        <v>45591</v>
      </c>
      <c r="K65" s="151"/>
      <c r="L65" s="150">
        <v>45592</v>
      </c>
      <c r="M65" s="151"/>
      <c r="N65" s="73"/>
      <c r="O65" s="73"/>
      <c r="P65" s="73"/>
      <c r="Q65" s="73"/>
      <c r="R65" s="73"/>
      <c r="S65" s="73"/>
      <c r="T65" s="73"/>
      <c r="U65" s="73"/>
    </row>
    <row r="66" spans="1:21">
      <c r="A66" s="69"/>
      <c r="B66" s="152" t="s">
        <v>200</v>
      </c>
      <c r="C66" s="153"/>
      <c r="D66" s="152" t="s">
        <v>200</v>
      </c>
      <c r="E66" s="153"/>
      <c r="F66" s="152" t="s">
        <v>200</v>
      </c>
      <c r="G66" s="153"/>
      <c r="H66" s="152" t="s">
        <v>200</v>
      </c>
      <c r="I66" s="153"/>
      <c r="J66" s="152" t="s">
        <v>200</v>
      </c>
      <c r="K66" s="153"/>
      <c r="L66" s="152" t="s">
        <v>200</v>
      </c>
      <c r="M66" s="153"/>
      <c r="N66" s="73"/>
      <c r="O66" s="73"/>
      <c r="P66" s="73"/>
      <c r="Q66" s="73"/>
      <c r="R66" s="73"/>
      <c r="S66" s="73"/>
      <c r="T66" s="73"/>
      <c r="U66" s="73"/>
    </row>
    <row r="67" spans="1:21">
      <c r="A67" s="69"/>
      <c r="B67" s="152" t="s">
        <v>169</v>
      </c>
      <c r="C67" s="153"/>
      <c r="D67" s="152" t="s">
        <v>170</v>
      </c>
      <c r="E67" s="153"/>
      <c r="F67" s="152" t="s">
        <v>171</v>
      </c>
      <c r="G67" s="153"/>
      <c r="H67" s="152" t="s">
        <v>172</v>
      </c>
      <c r="I67" s="153"/>
      <c r="J67" s="152" t="s">
        <v>173</v>
      </c>
      <c r="K67" s="153"/>
      <c r="L67" s="152" t="s">
        <v>174</v>
      </c>
      <c r="M67" s="153"/>
      <c r="N67" s="73"/>
      <c r="O67" s="73"/>
      <c r="P67" s="73"/>
      <c r="Q67" s="73"/>
      <c r="R67" s="73"/>
      <c r="S67" s="73"/>
      <c r="T67" s="73"/>
      <c r="U67" s="73"/>
    </row>
    <row r="68" spans="1:21">
      <c r="A68" s="69"/>
      <c r="B68" s="152" t="s">
        <v>179</v>
      </c>
      <c r="C68" s="153"/>
      <c r="D68" s="152" t="s">
        <v>179</v>
      </c>
      <c r="E68" s="153"/>
      <c r="F68" s="152" t="s">
        <v>179</v>
      </c>
      <c r="G68" s="153"/>
      <c r="H68" s="152" t="s">
        <v>201</v>
      </c>
      <c r="I68" s="153"/>
      <c r="J68" s="152" t="s">
        <v>201</v>
      </c>
      <c r="K68" s="153"/>
      <c r="L68" s="152" t="s">
        <v>201</v>
      </c>
      <c r="M68" s="153"/>
      <c r="N68" s="73"/>
      <c r="O68" s="73"/>
      <c r="P68" s="73"/>
      <c r="Q68" s="73"/>
      <c r="R68" s="73"/>
      <c r="S68" s="73"/>
      <c r="T68" s="73"/>
      <c r="U68" s="73"/>
    </row>
    <row r="69" spans="1:21">
      <c r="A69" s="65" t="s">
        <v>182</v>
      </c>
      <c r="B69" s="68" t="s">
        <v>183</v>
      </c>
      <c r="C69" s="67" t="s">
        <v>184</v>
      </c>
      <c r="D69" s="68" t="s">
        <v>183</v>
      </c>
      <c r="E69" s="67" t="s">
        <v>184</v>
      </c>
      <c r="F69" s="68" t="s">
        <v>183</v>
      </c>
      <c r="G69" s="67" t="s">
        <v>184</v>
      </c>
      <c r="H69" s="68" t="s">
        <v>183</v>
      </c>
      <c r="I69" s="67" t="s">
        <v>184</v>
      </c>
      <c r="J69" s="68" t="s">
        <v>183</v>
      </c>
      <c r="K69" s="67" t="s">
        <v>184</v>
      </c>
      <c r="L69" s="68" t="s">
        <v>183</v>
      </c>
      <c r="M69" s="67" t="s">
        <v>184</v>
      </c>
      <c r="N69" s="73"/>
      <c r="O69" s="73"/>
      <c r="P69" s="73"/>
      <c r="Q69" s="73"/>
      <c r="R69" s="73"/>
      <c r="S69" s="73"/>
      <c r="T69" s="73"/>
      <c r="U69" s="73"/>
    </row>
    <row r="70" spans="1:21">
      <c r="A70" s="66" t="s">
        <v>185</v>
      </c>
      <c r="B70" s="71">
        <v>76938</v>
      </c>
      <c r="C70" s="72">
        <v>45988</v>
      </c>
      <c r="D70" s="71">
        <v>63040</v>
      </c>
      <c r="E70" s="72">
        <v>39565</v>
      </c>
      <c r="F70" s="71">
        <v>102208</v>
      </c>
      <c r="G70" s="72">
        <v>58726</v>
      </c>
      <c r="H70" s="71">
        <v>214671</v>
      </c>
      <c r="I70" s="72">
        <v>132787</v>
      </c>
      <c r="J70" s="71">
        <v>125697</v>
      </c>
      <c r="K70" s="72">
        <v>74244</v>
      </c>
      <c r="L70" s="71">
        <v>143914</v>
      </c>
      <c r="M70" s="72">
        <v>71461</v>
      </c>
      <c r="N70" s="73"/>
      <c r="O70" s="73"/>
      <c r="P70" s="73"/>
      <c r="Q70" s="73"/>
      <c r="R70" s="73"/>
      <c r="S70" s="73"/>
      <c r="T70" s="73"/>
      <c r="U70" s="73"/>
    </row>
    <row r="71" spans="1:21">
      <c r="A71" s="66" t="s">
        <v>186</v>
      </c>
      <c r="B71" s="71">
        <v>11221</v>
      </c>
      <c r="C71" s="72">
        <v>7240</v>
      </c>
      <c r="D71" s="71">
        <v>15596</v>
      </c>
      <c r="E71" s="72">
        <v>10300</v>
      </c>
      <c r="F71" s="71">
        <v>18492</v>
      </c>
      <c r="G71" s="72">
        <v>11812</v>
      </c>
      <c r="H71" s="71">
        <v>13524</v>
      </c>
      <c r="I71" s="72">
        <v>8402</v>
      </c>
      <c r="J71" s="71">
        <v>12675</v>
      </c>
      <c r="K71" s="72">
        <v>7903</v>
      </c>
      <c r="L71" s="71">
        <v>19020</v>
      </c>
      <c r="M71" s="72">
        <v>12763</v>
      </c>
      <c r="N71" s="73"/>
      <c r="O71" s="73"/>
      <c r="P71" s="73"/>
      <c r="Q71" s="73"/>
      <c r="R71" s="73"/>
      <c r="S71" s="73"/>
      <c r="T71" s="73"/>
      <c r="U71" s="73"/>
    </row>
    <row r="72" spans="1:21">
      <c r="A72" s="66" t="s">
        <v>187</v>
      </c>
      <c r="B72" s="71">
        <v>9415</v>
      </c>
      <c r="C72" s="72">
        <v>6702</v>
      </c>
      <c r="D72" s="71">
        <v>8118</v>
      </c>
      <c r="E72" s="72">
        <v>5948</v>
      </c>
      <c r="F72" s="71">
        <v>9764</v>
      </c>
      <c r="G72" s="72">
        <v>7073</v>
      </c>
      <c r="H72" s="71">
        <v>18258</v>
      </c>
      <c r="I72" s="72">
        <v>11249</v>
      </c>
      <c r="J72" s="71">
        <v>18338</v>
      </c>
      <c r="K72" s="72">
        <v>10013</v>
      </c>
      <c r="L72" s="71">
        <v>21097</v>
      </c>
      <c r="M72" s="72">
        <v>10411</v>
      </c>
      <c r="N72" s="73"/>
      <c r="O72" s="73"/>
      <c r="P72" s="73"/>
      <c r="Q72" s="73"/>
      <c r="R72" s="73"/>
      <c r="S72" s="73"/>
      <c r="T72" s="73"/>
      <c r="U72" s="73"/>
    </row>
    <row r="73" spans="1:21">
      <c r="A73" s="66" t="s">
        <v>188</v>
      </c>
      <c r="B73" s="71">
        <v>12958</v>
      </c>
      <c r="C73" s="72">
        <v>10069</v>
      </c>
      <c r="D73" s="71">
        <v>13844</v>
      </c>
      <c r="E73" s="72">
        <v>10988</v>
      </c>
      <c r="F73" s="71">
        <v>14232</v>
      </c>
      <c r="G73" s="72">
        <v>10902</v>
      </c>
      <c r="H73" s="71">
        <v>18981</v>
      </c>
      <c r="I73" s="72">
        <v>14572</v>
      </c>
      <c r="J73" s="71">
        <v>20101</v>
      </c>
      <c r="K73" s="72">
        <v>15302</v>
      </c>
      <c r="L73" s="71">
        <v>26850</v>
      </c>
      <c r="M73" s="72">
        <v>17935</v>
      </c>
      <c r="N73" s="73"/>
      <c r="O73" s="73"/>
      <c r="P73" s="73"/>
      <c r="Q73" s="73"/>
      <c r="R73" s="73"/>
      <c r="S73" s="73"/>
      <c r="T73" s="73"/>
      <c r="U73" s="73"/>
    </row>
    <row r="74" spans="1:21">
      <c r="A74" s="66" t="s">
        <v>189</v>
      </c>
      <c r="B74" s="71">
        <v>4525</v>
      </c>
      <c r="C74" s="72">
        <v>3755</v>
      </c>
      <c r="D74" s="71">
        <v>3766</v>
      </c>
      <c r="E74" s="72">
        <v>3019</v>
      </c>
      <c r="F74" s="71">
        <v>4996</v>
      </c>
      <c r="G74" s="72">
        <v>3858</v>
      </c>
      <c r="H74" s="71">
        <v>6961</v>
      </c>
      <c r="I74" s="72">
        <v>5130</v>
      </c>
      <c r="J74" s="71">
        <v>8007</v>
      </c>
      <c r="K74" s="72">
        <v>5554</v>
      </c>
      <c r="L74" s="71">
        <v>11457</v>
      </c>
      <c r="M74" s="72">
        <v>7746</v>
      </c>
      <c r="N74" s="73"/>
      <c r="O74" s="73"/>
      <c r="P74" s="73"/>
      <c r="Q74" s="73"/>
      <c r="R74" s="73"/>
      <c r="S74" s="73"/>
      <c r="T74" s="73"/>
      <c r="U74" s="73"/>
    </row>
    <row r="75" spans="1:21">
      <c r="A75" s="66" t="s">
        <v>190</v>
      </c>
      <c r="B75" s="71">
        <v>4032</v>
      </c>
      <c r="C75" s="72">
        <v>2771</v>
      </c>
      <c r="D75" s="71">
        <v>4322</v>
      </c>
      <c r="E75" s="72">
        <v>3031</v>
      </c>
      <c r="F75" s="71">
        <v>4574</v>
      </c>
      <c r="G75" s="72">
        <v>3130</v>
      </c>
      <c r="H75" s="71">
        <v>6294</v>
      </c>
      <c r="I75" s="72">
        <v>4910</v>
      </c>
      <c r="J75" s="71">
        <v>6928</v>
      </c>
      <c r="K75" s="72">
        <v>5130</v>
      </c>
      <c r="L75" s="71">
        <v>8313</v>
      </c>
      <c r="M75" s="72">
        <v>5867</v>
      </c>
      <c r="N75" s="73"/>
      <c r="O75" s="73"/>
      <c r="P75" s="73"/>
      <c r="Q75" s="73"/>
      <c r="R75" s="73"/>
      <c r="S75" s="73"/>
      <c r="T75" s="73"/>
      <c r="U75" s="73"/>
    </row>
    <row r="76" spans="1:21" ht="17.45" thickBot="1">
      <c r="A76" s="82" t="s">
        <v>191</v>
      </c>
      <c r="B76" s="79">
        <v>123171</v>
      </c>
      <c r="C76" s="80">
        <v>83978</v>
      </c>
      <c r="D76" s="79">
        <v>113199</v>
      </c>
      <c r="E76" s="80">
        <v>78793</v>
      </c>
      <c r="F76" s="79">
        <v>156696</v>
      </c>
      <c r="G76" s="80">
        <v>102141</v>
      </c>
      <c r="H76" s="79">
        <v>273692</v>
      </c>
      <c r="I76" s="80">
        <v>185333</v>
      </c>
      <c r="J76" s="79">
        <v>186737</v>
      </c>
      <c r="K76" s="80">
        <v>126344</v>
      </c>
      <c r="L76" s="79">
        <v>229989</v>
      </c>
      <c r="M76" s="80">
        <v>138514</v>
      </c>
      <c r="N76" s="73"/>
      <c r="O76" s="73"/>
      <c r="P76" s="73"/>
      <c r="Q76" s="73"/>
      <c r="R76" s="73"/>
      <c r="S76" s="73"/>
      <c r="T76" s="73"/>
      <c r="U76" s="73"/>
    </row>
    <row r="77" spans="1:21">
      <c r="A77" s="83" t="s">
        <v>198</v>
      </c>
      <c r="B77" s="162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60"/>
      <c r="N77" s="81"/>
      <c r="O77" s="81"/>
      <c r="P77" s="81"/>
      <c r="Q77" s="81"/>
      <c r="R77" s="81"/>
      <c r="S77" s="81"/>
      <c r="T77" s="81"/>
      <c r="U77" s="81"/>
    </row>
    <row r="78" spans="1:21" ht="17.45" thickBot="1">
      <c r="A78" s="84" t="s">
        <v>193</v>
      </c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61"/>
      <c r="N78" s="81"/>
      <c r="O78" s="81"/>
      <c r="P78" s="81"/>
      <c r="Q78" s="81"/>
      <c r="R78" s="81"/>
      <c r="S78" s="81"/>
      <c r="T78" s="81"/>
      <c r="U78" s="81"/>
    </row>
    <row r="79" spans="1:21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3"/>
      <c r="O79" s="73"/>
      <c r="P79" s="73"/>
      <c r="Q79" s="73"/>
      <c r="R79" s="73"/>
      <c r="S79" s="73"/>
      <c r="T79" s="73"/>
      <c r="U79" s="73"/>
    </row>
    <row r="80" spans="1:21" ht="17.45" thickBot="1"/>
    <row r="81" spans="1:21">
      <c r="A81" s="70"/>
      <c r="B81" s="150">
        <v>45600</v>
      </c>
      <c r="C81" s="151"/>
      <c r="D81" s="150">
        <v>45601</v>
      </c>
      <c r="E81" s="151"/>
      <c r="F81" s="150">
        <v>45602</v>
      </c>
      <c r="G81" s="151"/>
      <c r="H81" s="150">
        <v>45604</v>
      </c>
      <c r="I81" s="151"/>
      <c r="J81" s="150">
        <v>45605</v>
      </c>
      <c r="K81" s="151"/>
      <c r="L81" s="150">
        <v>45606</v>
      </c>
      <c r="M81" s="151"/>
      <c r="N81" s="73"/>
      <c r="O81" s="73"/>
      <c r="P81" s="73"/>
      <c r="Q81" s="73"/>
      <c r="R81" s="73"/>
      <c r="S81" s="73"/>
      <c r="T81" s="73"/>
      <c r="U81" s="73"/>
    </row>
    <row r="82" spans="1:21">
      <c r="A82" s="69"/>
      <c r="B82" s="152" t="s">
        <v>202</v>
      </c>
      <c r="C82" s="153"/>
      <c r="D82" s="152" t="s">
        <v>202</v>
      </c>
      <c r="E82" s="153"/>
      <c r="F82" s="152" t="s">
        <v>202</v>
      </c>
      <c r="G82" s="153"/>
      <c r="H82" s="152" t="s">
        <v>202</v>
      </c>
      <c r="I82" s="153"/>
      <c r="J82" s="152" t="s">
        <v>202</v>
      </c>
      <c r="K82" s="153"/>
      <c r="L82" s="152" t="s">
        <v>202</v>
      </c>
      <c r="M82" s="153"/>
      <c r="N82" s="73"/>
      <c r="O82" s="73"/>
      <c r="P82" s="73"/>
      <c r="Q82" s="73"/>
      <c r="R82" s="73"/>
      <c r="S82" s="73"/>
      <c r="T82" s="73"/>
      <c r="U82" s="73"/>
    </row>
    <row r="83" spans="1:21">
      <c r="A83" s="69"/>
      <c r="B83" s="152" t="s">
        <v>169</v>
      </c>
      <c r="C83" s="153"/>
      <c r="D83" s="152" t="s">
        <v>170</v>
      </c>
      <c r="E83" s="153"/>
      <c r="F83" s="152" t="s">
        <v>171</v>
      </c>
      <c r="G83" s="153"/>
      <c r="H83" s="152" t="s">
        <v>172</v>
      </c>
      <c r="I83" s="153"/>
      <c r="J83" s="152" t="s">
        <v>173</v>
      </c>
      <c r="K83" s="153"/>
      <c r="L83" s="152" t="s">
        <v>174</v>
      </c>
      <c r="M83" s="153"/>
      <c r="N83" s="73"/>
      <c r="O83" s="73"/>
      <c r="P83" s="73"/>
      <c r="Q83" s="73"/>
      <c r="R83" s="73"/>
      <c r="S83" s="73"/>
      <c r="T83" s="73"/>
      <c r="U83" s="73"/>
    </row>
    <row r="84" spans="1:21">
      <c r="A84" s="69"/>
      <c r="B84" s="152" t="s">
        <v>179</v>
      </c>
      <c r="C84" s="153"/>
      <c r="D84" s="152" t="s">
        <v>179</v>
      </c>
      <c r="E84" s="153"/>
      <c r="F84" s="152" t="s">
        <v>179</v>
      </c>
      <c r="G84" s="153"/>
      <c r="H84" s="152" t="s">
        <v>201</v>
      </c>
      <c r="I84" s="153"/>
      <c r="J84" s="152" t="s">
        <v>201</v>
      </c>
      <c r="K84" s="153"/>
      <c r="L84" s="152" t="s">
        <v>201</v>
      </c>
      <c r="M84" s="153"/>
      <c r="N84" s="73"/>
      <c r="O84" s="73"/>
      <c r="P84" s="73"/>
      <c r="Q84" s="73"/>
      <c r="R84" s="73"/>
      <c r="S84" s="73"/>
      <c r="T84" s="73"/>
      <c r="U84" s="73"/>
    </row>
    <row r="85" spans="1:21">
      <c r="A85" s="65" t="s">
        <v>182</v>
      </c>
      <c r="B85" s="68" t="s">
        <v>183</v>
      </c>
      <c r="C85" s="67" t="s">
        <v>184</v>
      </c>
      <c r="D85" s="68" t="s">
        <v>183</v>
      </c>
      <c r="E85" s="67" t="s">
        <v>184</v>
      </c>
      <c r="F85" s="68" t="s">
        <v>183</v>
      </c>
      <c r="G85" s="67" t="s">
        <v>184</v>
      </c>
      <c r="H85" s="68" t="s">
        <v>183</v>
      </c>
      <c r="I85" s="67" t="s">
        <v>184</v>
      </c>
      <c r="J85" s="68" t="s">
        <v>183</v>
      </c>
      <c r="K85" s="67" t="s">
        <v>184</v>
      </c>
      <c r="L85" s="68" t="s">
        <v>183</v>
      </c>
      <c r="M85" s="67" t="s">
        <v>184</v>
      </c>
      <c r="N85" s="73"/>
      <c r="O85" s="73"/>
      <c r="P85" s="73"/>
      <c r="Q85" s="73"/>
      <c r="R85" s="73"/>
      <c r="S85" s="73"/>
      <c r="T85" s="73"/>
      <c r="U85" s="73"/>
    </row>
    <row r="86" spans="1:21">
      <c r="A86" s="66" t="s">
        <v>185</v>
      </c>
      <c r="B86" s="71">
        <v>54316</v>
      </c>
      <c r="C86" s="72">
        <v>34321</v>
      </c>
      <c r="D86" s="71">
        <v>83662</v>
      </c>
      <c r="E86" s="72">
        <v>54506</v>
      </c>
      <c r="F86" s="71">
        <v>91746</v>
      </c>
      <c r="G86" s="72">
        <v>55386</v>
      </c>
      <c r="H86" s="71">
        <v>113316</v>
      </c>
      <c r="I86" s="72">
        <v>67533</v>
      </c>
      <c r="J86" s="71">
        <v>109331</v>
      </c>
      <c r="K86" s="72">
        <v>67332</v>
      </c>
      <c r="L86" s="71">
        <v>245726</v>
      </c>
      <c r="M86" s="72">
        <v>139992</v>
      </c>
      <c r="N86" s="73"/>
      <c r="O86" s="73"/>
      <c r="P86" s="73"/>
      <c r="Q86" s="73"/>
      <c r="R86" s="73"/>
      <c r="S86" s="73"/>
      <c r="T86" s="73"/>
      <c r="U86" s="73"/>
    </row>
    <row r="87" spans="1:21">
      <c r="A87" s="66" t="s">
        <v>186</v>
      </c>
      <c r="B87" s="71">
        <v>18526</v>
      </c>
      <c r="C87" s="72">
        <v>12736</v>
      </c>
      <c r="D87" s="71">
        <v>20873</v>
      </c>
      <c r="E87" s="72">
        <v>13936</v>
      </c>
      <c r="F87" s="71">
        <v>22945</v>
      </c>
      <c r="G87" s="72">
        <v>15125</v>
      </c>
      <c r="H87" s="71">
        <v>20772</v>
      </c>
      <c r="I87" s="72">
        <v>13729</v>
      </c>
      <c r="J87" s="71">
        <v>26116</v>
      </c>
      <c r="K87" s="72">
        <v>16900</v>
      </c>
      <c r="L87" s="71">
        <v>28236</v>
      </c>
      <c r="M87" s="72">
        <v>18642</v>
      </c>
      <c r="N87" s="73"/>
      <c r="O87" s="73"/>
      <c r="P87" s="73"/>
      <c r="Q87" s="73"/>
      <c r="R87" s="73"/>
      <c r="S87" s="73"/>
      <c r="T87" s="73"/>
      <c r="U87" s="73"/>
    </row>
    <row r="88" spans="1:21">
      <c r="A88" s="66" t="s">
        <v>187</v>
      </c>
      <c r="B88" s="71">
        <v>8207</v>
      </c>
      <c r="C88" s="72">
        <v>5809</v>
      </c>
      <c r="D88" s="71">
        <v>8047</v>
      </c>
      <c r="E88" s="72">
        <v>6225</v>
      </c>
      <c r="F88" s="71">
        <v>9468</v>
      </c>
      <c r="G88" s="72">
        <v>6645</v>
      </c>
      <c r="H88" s="71">
        <v>15183</v>
      </c>
      <c r="I88" s="72">
        <v>9273</v>
      </c>
      <c r="J88" s="71">
        <v>15124</v>
      </c>
      <c r="K88" s="72">
        <v>9191</v>
      </c>
      <c r="L88" s="71">
        <v>18222</v>
      </c>
      <c r="M88" s="72">
        <v>12103</v>
      </c>
      <c r="N88" s="73"/>
      <c r="O88" s="73"/>
      <c r="P88" s="73"/>
      <c r="Q88" s="73"/>
      <c r="R88" s="73"/>
      <c r="S88" s="73"/>
      <c r="T88" s="73"/>
      <c r="U88" s="73"/>
    </row>
    <row r="89" spans="1:21">
      <c r="A89" s="66" t="s">
        <v>188</v>
      </c>
      <c r="B89" s="71">
        <v>15751</v>
      </c>
      <c r="C89" s="72">
        <v>12380</v>
      </c>
      <c r="D89" s="71">
        <v>16066</v>
      </c>
      <c r="E89" s="72">
        <v>12279</v>
      </c>
      <c r="F89" s="71">
        <v>14938</v>
      </c>
      <c r="G89" s="72">
        <v>11165</v>
      </c>
      <c r="H89" s="71">
        <v>17368</v>
      </c>
      <c r="I89" s="72">
        <v>12740</v>
      </c>
      <c r="J89" s="71">
        <v>16717</v>
      </c>
      <c r="K89" s="72">
        <v>13707</v>
      </c>
      <c r="L89" s="71">
        <v>19705</v>
      </c>
      <c r="M89" s="72">
        <v>15628</v>
      </c>
      <c r="N89" s="73"/>
      <c r="O89" s="73"/>
      <c r="P89" s="73"/>
      <c r="Q89" s="73"/>
      <c r="R89" s="73"/>
      <c r="S89" s="73"/>
      <c r="T89" s="73"/>
      <c r="U89" s="73"/>
    </row>
    <row r="90" spans="1:21">
      <c r="A90" s="66" t="s">
        <v>189</v>
      </c>
      <c r="B90" s="71">
        <v>6974</v>
      </c>
      <c r="C90" s="72">
        <v>5735</v>
      </c>
      <c r="D90" s="71">
        <v>7372</v>
      </c>
      <c r="E90" s="72">
        <v>4981</v>
      </c>
      <c r="F90" s="71">
        <v>6335</v>
      </c>
      <c r="G90" s="72">
        <v>4393</v>
      </c>
      <c r="H90" s="71">
        <v>7129</v>
      </c>
      <c r="I90" s="72">
        <v>4822</v>
      </c>
      <c r="J90" s="71">
        <v>8449</v>
      </c>
      <c r="K90" s="72">
        <v>6508</v>
      </c>
      <c r="L90" s="71">
        <v>11413</v>
      </c>
      <c r="M90" s="72">
        <v>8505</v>
      </c>
      <c r="N90" s="73"/>
      <c r="O90" s="73"/>
      <c r="P90" s="73"/>
      <c r="Q90" s="73"/>
      <c r="R90" s="73"/>
      <c r="S90" s="73"/>
      <c r="T90" s="73"/>
      <c r="U90" s="73"/>
    </row>
    <row r="91" spans="1:21">
      <c r="A91" s="66" t="s">
        <v>190</v>
      </c>
      <c r="B91" s="71">
        <v>6083</v>
      </c>
      <c r="C91" s="72">
        <v>4404</v>
      </c>
      <c r="D91" s="71">
        <v>5943</v>
      </c>
      <c r="E91" s="72">
        <v>4076</v>
      </c>
      <c r="F91" s="71">
        <v>6002</v>
      </c>
      <c r="G91" s="72">
        <v>4095</v>
      </c>
      <c r="H91" s="71">
        <v>6523</v>
      </c>
      <c r="I91" s="72">
        <v>4696</v>
      </c>
      <c r="J91" s="71">
        <v>7001</v>
      </c>
      <c r="K91" s="72">
        <v>5357</v>
      </c>
      <c r="L91" s="71">
        <v>10027</v>
      </c>
      <c r="M91" s="72">
        <v>7239</v>
      </c>
      <c r="N91" s="73"/>
      <c r="O91" s="73"/>
      <c r="P91" s="73"/>
      <c r="Q91" s="73"/>
      <c r="R91" s="73"/>
      <c r="S91" s="73"/>
      <c r="T91" s="73"/>
      <c r="U91" s="73"/>
    </row>
    <row r="92" spans="1:21" ht="17.45" thickBot="1">
      <c r="A92" s="82" t="s">
        <v>191</v>
      </c>
      <c r="B92" s="79">
        <v>113012</v>
      </c>
      <c r="C92" s="80">
        <v>81594</v>
      </c>
      <c r="D92" s="79">
        <v>146336</v>
      </c>
      <c r="E92" s="80">
        <v>102269</v>
      </c>
      <c r="F92" s="79">
        <v>155167</v>
      </c>
      <c r="G92" s="80">
        <v>103375</v>
      </c>
      <c r="H92" s="79">
        <v>176068</v>
      </c>
      <c r="I92" s="80">
        <v>119708</v>
      </c>
      <c r="J92" s="79">
        <v>179688</v>
      </c>
      <c r="K92" s="80">
        <v>126472</v>
      </c>
      <c r="L92" s="79">
        <v>327827</v>
      </c>
      <c r="M92" s="80">
        <v>213805</v>
      </c>
      <c r="N92" s="73"/>
      <c r="O92" s="73"/>
      <c r="P92" s="73"/>
      <c r="Q92" s="73"/>
      <c r="R92" s="73"/>
      <c r="S92" s="73"/>
      <c r="T92" s="73"/>
      <c r="U92" s="73"/>
    </row>
    <row r="93" spans="1:21">
      <c r="A93" s="83" t="s">
        <v>198</v>
      </c>
      <c r="B93" s="162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60"/>
      <c r="N93" s="81"/>
      <c r="O93" s="81"/>
      <c r="P93" s="81"/>
      <c r="Q93" s="81"/>
      <c r="R93" s="81"/>
      <c r="S93" s="81"/>
      <c r="T93" s="81"/>
      <c r="U93" s="81"/>
    </row>
    <row r="94" spans="1:21" ht="17.45" thickBot="1">
      <c r="A94" s="84" t="s">
        <v>193</v>
      </c>
      <c r="B94" s="156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61"/>
      <c r="N94" s="81"/>
      <c r="O94" s="81"/>
      <c r="P94" s="81"/>
      <c r="Q94" s="81"/>
      <c r="R94" s="81"/>
      <c r="S94" s="81"/>
      <c r="T94" s="81"/>
      <c r="U94" s="81"/>
    </row>
    <row r="95" spans="1:21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3"/>
      <c r="O95" s="73"/>
      <c r="P95" s="73"/>
      <c r="Q95" s="73"/>
      <c r="R95" s="73"/>
      <c r="S95" s="73"/>
      <c r="T95" s="73"/>
      <c r="U95" s="73"/>
    </row>
    <row r="96" spans="1:21" ht="17.45" thickBot="1"/>
    <row r="97" spans="1:21">
      <c r="A97" s="70"/>
      <c r="B97" s="150">
        <v>45775</v>
      </c>
      <c r="C97" s="151"/>
      <c r="D97" s="150">
        <v>45776</v>
      </c>
      <c r="E97" s="151"/>
      <c r="F97" s="150">
        <v>45777</v>
      </c>
      <c r="G97" s="151"/>
      <c r="H97" s="150">
        <v>45779</v>
      </c>
      <c r="I97" s="151"/>
      <c r="J97" s="150">
        <v>45780</v>
      </c>
      <c r="K97" s="151"/>
      <c r="L97" s="150">
        <v>45781</v>
      </c>
      <c r="M97" s="151"/>
      <c r="N97" s="73"/>
      <c r="O97" s="73"/>
      <c r="P97" s="73"/>
      <c r="Q97" s="73"/>
      <c r="R97" s="73"/>
      <c r="S97" s="73"/>
      <c r="T97" s="73"/>
      <c r="U97" s="73"/>
    </row>
    <row r="98" spans="1:21">
      <c r="A98" s="69"/>
      <c r="B98" s="152" t="s">
        <v>203</v>
      </c>
      <c r="C98" s="153"/>
      <c r="D98" s="152" t="s">
        <v>203</v>
      </c>
      <c r="E98" s="153"/>
      <c r="F98" s="152" t="s">
        <v>203</v>
      </c>
      <c r="G98" s="153"/>
      <c r="H98" s="152" t="s">
        <v>203</v>
      </c>
      <c r="I98" s="153"/>
      <c r="J98" s="152" t="s">
        <v>203</v>
      </c>
      <c r="K98" s="153"/>
      <c r="L98" s="152" t="s">
        <v>203</v>
      </c>
      <c r="M98" s="153"/>
      <c r="N98" s="73"/>
      <c r="O98" s="73"/>
      <c r="P98" s="73"/>
      <c r="Q98" s="73"/>
      <c r="R98" s="73"/>
      <c r="S98" s="73"/>
      <c r="T98" s="73"/>
      <c r="U98" s="73"/>
    </row>
    <row r="99" spans="1:21">
      <c r="A99" s="69"/>
      <c r="B99" s="152" t="s">
        <v>169</v>
      </c>
      <c r="C99" s="153"/>
      <c r="D99" s="152" t="s">
        <v>170</v>
      </c>
      <c r="E99" s="153"/>
      <c r="F99" s="152" t="s">
        <v>171</v>
      </c>
      <c r="G99" s="153"/>
      <c r="H99" s="152" t="s">
        <v>172</v>
      </c>
      <c r="I99" s="153"/>
      <c r="J99" s="152" t="s">
        <v>173</v>
      </c>
      <c r="K99" s="153"/>
      <c r="L99" s="152" t="s">
        <v>174</v>
      </c>
      <c r="M99" s="153"/>
      <c r="N99" s="73"/>
      <c r="O99" s="73"/>
      <c r="P99" s="73"/>
      <c r="Q99" s="73"/>
      <c r="R99" s="73"/>
      <c r="S99" s="73"/>
      <c r="T99" s="73"/>
      <c r="U99" s="73"/>
    </row>
    <row r="100" spans="1:21">
      <c r="A100" s="69"/>
      <c r="B100" s="152" t="s">
        <v>179</v>
      </c>
      <c r="C100" s="153"/>
      <c r="D100" s="152" t="s">
        <v>179</v>
      </c>
      <c r="E100" s="153"/>
      <c r="F100" s="152" t="s">
        <v>179</v>
      </c>
      <c r="G100" s="153"/>
      <c r="H100" s="152" t="s">
        <v>181</v>
      </c>
      <c r="I100" s="153"/>
      <c r="J100" s="152" t="s">
        <v>181</v>
      </c>
      <c r="K100" s="153"/>
      <c r="L100" s="152" t="s">
        <v>181</v>
      </c>
      <c r="M100" s="153"/>
      <c r="N100" s="73"/>
      <c r="O100" s="73"/>
      <c r="P100" s="73"/>
      <c r="Q100" s="73"/>
      <c r="R100" s="73"/>
      <c r="S100" s="73"/>
      <c r="T100" s="73"/>
      <c r="U100" s="73"/>
    </row>
    <row r="101" spans="1:21">
      <c r="A101" s="65" t="s">
        <v>182</v>
      </c>
      <c r="B101" s="68" t="s">
        <v>183</v>
      </c>
      <c r="C101" s="67" t="s">
        <v>184</v>
      </c>
      <c r="D101" s="68" t="s">
        <v>183</v>
      </c>
      <c r="E101" s="67" t="s">
        <v>184</v>
      </c>
      <c r="F101" s="68" t="s">
        <v>183</v>
      </c>
      <c r="G101" s="67" t="s">
        <v>184</v>
      </c>
      <c r="H101" s="68" t="s">
        <v>183</v>
      </c>
      <c r="I101" s="67" t="s">
        <v>184</v>
      </c>
      <c r="J101" s="68" t="s">
        <v>183</v>
      </c>
      <c r="K101" s="67" t="s">
        <v>184</v>
      </c>
      <c r="L101" s="68" t="s">
        <v>183</v>
      </c>
      <c r="M101" s="67" t="s">
        <v>184</v>
      </c>
      <c r="N101" s="73"/>
      <c r="O101" s="73"/>
      <c r="P101" s="73"/>
      <c r="Q101" s="73"/>
      <c r="R101" s="73"/>
      <c r="S101" s="73"/>
      <c r="T101" s="73"/>
      <c r="U101" s="73"/>
    </row>
    <row r="102" spans="1:21">
      <c r="A102" s="66" t="s">
        <v>185</v>
      </c>
      <c r="B102" s="71">
        <v>36923</v>
      </c>
      <c r="C102" s="72">
        <v>20712</v>
      </c>
      <c r="D102" s="71">
        <v>40221</v>
      </c>
      <c r="E102" s="72">
        <v>22688</v>
      </c>
      <c r="F102" s="71">
        <v>21831</v>
      </c>
      <c r="G102" s="72">
        <v>12223</v>
      </c>
      <c r="H102" s="71">
        <v>49567</v>
      </c>
      <c r="I102" s="72">
        <v>26976</v>
      </c>
      <c r="J102" s="71">
        <v>54789</v>
      </c>
      <c r="K102" s="72">
        <v>29636</v>
      </c>
      <c r="L102" s="71">
        <v>174684</v>
      </c>
      <c r="M102" s="72">
        <v>89819</v>
      </c>
      <c r="N102" s="73"/>
      <c r="O102" s="73"/>
      <c r="P102" s="73"/>
      <c r="Q102" s="73"/>
      <c r="R102" s="73"/>
      <c r="S102" s="73"/>
      <c r="T102" s="73"/>
      <c r="U102" s="73"/>
    </row>
    <row r="103" spans="1:21">
      <c r="A103" s="66" t="s">
        <v>186</v>
      </c>
      <c r="B103" s="71">
        <v>18648</v>
      </c>
      <c r="C103" s="72">
        <v>11605</v>
      </c>
      <c r="D103" s="71">
        <v>22385</v>
      </c>
      <c r="E103" s="72">
        <v>14181</v>
      </c>
      <c r="F103" s="71">
        <v>24509</v>
      </c>
      <c r="G103" s="72">
        <v>15408</v>
      </c>
      <c r="H103" s="71">
        <v>29169</v>
      </c>
      <c r="I103" s="72">
        <v>17412</v>
      </c>
      <c r="J103" s="71">
        <v>29539</v>
      </c>
      <c r="K103" s="72">
        <v>19586</v>
      </c>
      <c r="L103" s="71">
        <v>45848</v>
      </c>
      <c r="M103" s="72">
        <v>31245</v>
      </c>
      <c r="N103" s="73"/>
      <c r="O103" s="73"/>
      <c r="P103" s="73"/>
      <c r="Q103" s="73"/>
      <c r="R103" s="73"/>
      <c r="S103" s="73"/>
      <c r="T103" s="73"/>
      <c r="U103" s="73"/>
    </row>
    <row r="104" spans="1:21">
      <c r="A104" s="66" t="s">
        <v>187</v>
      </c>
      <c r="B104" s="71">
        <v>11997</v>
      </c>
      <c r="C104" s="72">
        <v>9171</v>
      </c>
      <c r="D104" s="71">
        <v>18065</v>
      </c>
      <c r="E104" s="72">
        <v>14786</v>
      </c>
      <c r="F104" s="71">
        <v>16988</v>
      </c>
      <c r="G104" s="72">
        <v>12133</v>
      </c>
      <c r="H104" s="71">
        <v>15258</v>
      </c>
      <c r="I104" s="72">
        <v>11963</v>
      </c>
      <c r="J104" s="71">
        <v>16712</v>
      </c>
      <c r="K104" s="72">
        <v>13478</v>
      </c>
      <c r="L104" s="71">
        <v>28891</v>
      </c>
      <c r="M104" s="72">
        <v>16047</v>
      </c>
      <c r="N104" s="73"/>
      <c r="O104" s="73"/>
      <c r="P104" s="73"/>
      <c r="Q104" s="73"/>
      <c r="R104" s="73"/>
      <c r="S104" s="73"/>
      <c r="T104" s="73"/>
      <c r="U104" s="73"/>
    </row>
    <row r="105" spans="1:21">
      <c r="A105" s="66" t="s">
        <v>188</v>
      </c>
      <c r="B105" s="71">
        <v>13570</v>
      </c>
      <c r="C105" s="72">
        <v>9981</v>
      </c>
      <c r="D105" s="71">
        <v>12055</v>
      </c>
      <c r="E105" s="72">
        <v>9456</v>
      </c>
      <c r="F105" s="71">
        <v>14299</v>
      </c>
      <c r="G105" s="72">
        <v>10735</v>
      </c>
      <c r="H105" s="71">
        <v>19919</v>
      </c>
      <c r="I105" s="72">
        <v>14010</v>
      </c>
      <c r="J105" s="71">
        <v>19970</v>
      </c>
      <c r="K105" s="72">
        <v>14271</v>
      </c>
      <c r="L105" s="71">
        <v>26502</v>
      </c>
      <c r="M105" s="72">
        <v>17046</v>
      </c>
      <c r="N105" s="73"/>
      <c r="O105" s="73"/>
      <c r="P105" s="73"/>
      <c r="Q105" s="73"/>
      <c r="R105" s="73"/>
      <c r="S105" s="73"/>
      <c r="T105" s="73"/>
      <c r="U105" s="73"/>
    </row>
    <row r="106" spans="1:21">
      <c r="A106" s="66" t="s">
        <v>189</v>
      </c>
      <c r="B106" s="71">
        <v>7379</v>
      </c>
      <c r="C106" s="72">
        <v>5754</v>
      </c>
      <c r="D106" s="71">
        <v>6770</v>
      </c>
      <c r="E106" s="72">
        <v>5582</v>
      </c>
      <c r="F106" s="71">
        <v>7344</v>
      </c>
      <c r="G106" s="72">
        <v>5640</v>
      </c>
      <c r="H106" s="71">
        <v>9045</v>
      </c>
      <c r="I106" s="72">
        <v>6765</v>
      </c>
      <c r="J106" s="71">
        <v>7940</v>
      </c>
      <c r="K106" s="72">
        <v>6262</v>
      </c>
      <c r="L106" s="71">
        <v>30073</v>
      </c>
      <c r="M106" s="72">
        <v>19463</v>
      </c>
      <c r="N106" s="73"/>
      <c r="O106" s="73"/>
      <c r="P106" s="73"/>
      <c r="Q106" s="73"/>
      <c r="R106" s="73"/>
      <c r="S106" s="73"/>
      <c r="T106" s="73"/>
      <c r="U106" s="73"/>
    </row>
    <row r="107" spans="1:21">
      <c r="A107" s="66" t="s">
        <v>190</v>
      </c>
      <c r="B107" s="71">
        <v>4378</v>
      </c>
      <c r="C107" s="72">
        <v>2626</v>
      </c>
      <c r="D107" s="71">
        <v>4261</v>
      </c>
      <c r="E107" s="72">
        <v>2708</v>
      </c>
      <c r="F107" s="71">
        <v>3812</v>
      </c>
      <c r="G107" s="72">
        <v>2921</v>
      </c>
      <c r="H107" s="71">
        <v>6075</v>
      </c>
      <c r="I107" s="72">
        <v>4061</v>
      </c>
      <c r="J107" s="71">
        <v>5452</v>
      </c>
      <c r="K107" s="72">
        <v>3403</v>
      </c>
      <c r="L107" s="71">
        <v>12879</v>
      </c>
      <c r="M107" s="72">
        <v>8067</v>
      </c>
      <c r="N107" s="73"/>
      <c r="O107" s="73"/>
      <c r="P107" s="73"/>
      <c r="Q107" s="73"/>
      <c r="R107" s="73"/>
      <c r="S107" s="73"/>
      <c r="T107" s="73"/>
      <c r="U107" s="73"/>
    </row>
    <row r="108" spans="1:21" ht="17.45" thickBot="1">
      <c r="A108" s="82" t="s">
        <v>191</v>
      </c>
      <c r="B108" s="79">
        <v>90602</v>
      </c>
      <c r="C108" s="80">
        <v>64888</v>
      </c>
      <c r="D108" s="79">
        <v>103390</v>
      </c>
      <c r="E108" s="80">
        <v>74273</v>
      </c>
      <c r="F108" s="79">
        <v>92591</v>
      </c>
      <c r="G108" s="80">
        <v>63347</v>
      </c>
      <c r="H108" s="79">
        <v>128622</v>
      </c>
      <c r="I108" s="80">
        <v>87627</v>
      </c>
      <c r="J108" s="79">
        <v>137242</v>
      </c>
      <c r="K108" s="80">
        <v>92239</v>
      </c>
      <c r="L108" s="79">
        <v>343749</v>
      </c>
      <c r="M108" s="80">
        <v>203813</v>
      </c>
      <c r="N108" s="73"/>
      <c r="O108" s="73"/>
      <c r="P108" s="73"/>
      <c r="Q108" s="73"/>
      <c r="R108" s="73"/>
      <c r="S108" s="73"/>
      <c r="T108" s="73"/>
      <c r="U108" s="73"/>
    </row>
    <row r="109" spans="1:21">
      <c r="A109" s="83" t="s">
        <v>198</v>
      </c>
      <c r="B109" s="162">
        <v>670788</v>
      </c>
      <c r="C109" s="159"/>
      <c r="D109" s="159">
        <v>642855</v>
      </c>
      <c r="E109" s="159"/>
      <c r="F109" s="159">
        <v>623084</v>
      </c>
      <c r="G109" s="159"/>
      <c r="H109" s="159">
        <v>736369</v>
      </c>
      <c r="I109" s="159"/>
      <c r="J109" s="159">
        <v>684705</v>
      </c>
      <c r="K109" s="159"/>
      <c r="L109" s="159">
        <v>790976</v>
      </c>
      <c r="M109" s="160"/>
      <c r="N109" s="81"/>
      <c r="O109" s="81"/>
      <c r="P109" s="81"/>
      <c r="Q109" s="81"/>
      <c r="R109" s="81"/>
      <c r="S109" s="81"/>
      <c r="T109" s="81"/>
      <c r="U109" s="81"/>
    </row>
    <row r="110" spans="1:21" ht="17.45" thickBot="1">
      <c r="A110" s="84" t="s">
        <v>193</v>
      </c>
      <c r="B110" s="156">
        <v>5845401</v>
      </c>
      <c r="C110" s="157"/>
      <c r="D110" s="157">
        <v>5215510</v>
      </c>
      <c r="E110" s="157"/>
      <c r="F110" s="157">
        <v>5281203</v>
      </c>
      <c r="G110" s="157"/>
      <c r="H110" s="157">
        <v>5848114</v>
      </c>
      <c r="I110" s="157"/>
      <c r="J110" s="157">
        <v>5885319</v>
      </c>
      <c r="K110" s="157"/>
      <c r="L110" s="157">
        <v>6628222</v>
      </c>
      <c r="M110" s="161"/>
      <c r="N110" s="81"/>
      <c r="O110" s="81"/>
      <c r="P110" s="81"/>
      <c r="Q110" s="81"/>
      <c r="R110" s="81"/>
      <c r="S110" s="81"/>
      <c r="T110" s="81"/>
      <c r="U110" s="81"/>
    </row>
    <row r="111" spans="1:21"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3"/>
      <c r="O111" s="73"/>
      <c r="P111" s="73"/>
      <c r="Q111" s="73"/>
      <c r="R111" s="73"/>
      <c r="S111" s="73"/>
      <c r="T111" s="73"/>
      <c r="U111" s="73"/>
    </row>
    <row r="112" spans="1:21" ht="17.45" thickBot="1"/>
    <row r="113" spans="1:21">
      <c r="A113" s="70"/>
      <c r="B113" s="150">
        <v>45789</v>
      </c>
      <c r="C113" s="163"/>
      <c r="D113" s="150">
        <v>45790</v>
      </c>
      <c r="E113" s="163"/>
      <c r="F113" s="150">
        <v>45791</v>
      </c>
      <c r="G113" s="163"/>
      <c r="H113" s="150">
        <v>45793</v>
      </c>
      <c r="I113" s="163"/>
      <c r="J113" s="150">
        <v>45794</v>
      </c>
      <c r="K113" s="163"/>
      <c r="L113" s="150">
        <v>45795</v>
      </c>
      <c r="M113" s="164"/>
      <c r="N113" s="73"/>
      <c r="O113" s="73"/>
      <c r="P113" s="73"/>
      <c r="Q113" s="73"/>
      <c r="R113" s="73"/>
      <c r="S113" s="73"/>
      <c r="T113" s="73"/>
      <c r="U113" s="73"/>
    </row>
    <row r="114" spans="1:21">
      <c r="A114" s="69"/>
      <c r="B114" s="152" t="s">
        <v>204</v>
      </c>
      <c r="C114" s="153"/>
      <c r="D114" s="152" t="s">
        <v>204</v>
      </c>
      <c r="E114" s="153"/>
      <c r="F114" s="152" t="s">
        <v>204</v>
      </c>
      <c r="G114" s="153"/>
      <c r="H114" s="152" t="s">
        <v>204</v>
      </c>
      <c r="I114" s="153"/>
      <c r="J114" s="152" t="s">
        <v>204</v>
      </c>
      <c r="K114" s="153"/>
      <c r="L114" s="152" t="s">
        <v>204</v>
      </c>
      <c r="M114" s="153"/>
      <c r="N114" s="73"/>
      <c r="O114" s="73"/>
      <c r="P114" s="73"/>
      <c r="Q114" s="73"/>
      <c r="R114" s="73"/>
      <c r="S114" s="73"/>
      <c r="T114" s="73"/>
      <c r="U114" s="73"/>
    </row>
    <row r="115" spans="1:21">
      <c r="A115" s="69"/>
      <c r="B115" s="152" t="s">
        <v>169</v>
      </c>
      <c r="C115" s="153"/>
      <c r="D115" s="152" t="s">
        <v>170</v>
      </c>
      <c r="E115" s="153"/>
      <c r="F115" s="152" t="s">
        <v>171</v>
      </c>
      <c r="G115" s="153"/>
      <c r="H115" s="152" t="s">
        <v>172</v>
      </c>
      <c r="I115" s="153"/>
      <c r="J115" s="152" t="s">
        <v>173</v>
      </c>
      <c r="K115" s="153"/>
      <c r="L115" s="152" t="s">
        <v>174</v>
      </c>
      <c r="M115" s="153"/>
      <c r="N115" s="73"/>
      <c r="O115" s="73"/>
      <c r="P115" s="73"/>
      <c r="Q115" s="73"/>
      <c r="R115" s="73"/>
      <c r="S115" s="73"/>
      <c r="T115" s="73"/>
      <c r="U115" s="73"/>
    </row>
    <row r="116" spans="1:21">
      <c r="A116" s="69"/>
      <c r="B116" s="152" t="s">
        <v>179</v>
      </c>
      <c r="C116" s="153"/>
      <c r="D116" s="152" t="s">
        <v>179</v>
      </c>
      <c r="E116" s="153"/>
      <c r="F116" s="152" t="s">
        <v>179</v>
      </c>
      <c r="G116" s="153"/>
      <c r="H116" s="152" t="s">
        <v>181</v>
      </c>
      <c r="I116" s="153"/>
      <c r="J116" s="152" t="s">
        <v>181</v>
      </c>
      <c r="K116" s="153"/>
      <c r="L116" s="152" t="s">
        <v>181</v>
      </c>
      <c r="M116" s="153"/>
      <c r="N116" s="73"/>
      <c r="O116" s="73"/>
      <c r="P116" s="73"/>
      <c r="Q116" s="73"/>
      <c r="R116" s="73"/>
      <c r="S116" s="73"/>
      <c r="T116" s="73"/>
      <c r="U116" s="73"/>
    </row>
    <row r="117" spans="1:21">
      <c r="A117" s="65" t="s">
        <v>182</v>
      </c>
      <c r="B117" s="74" t="s">
        <v>183</v>
      </c>
      <c r="C117" s="75" t="s">
        <v>184</v>
      </c>
      <c r="D117" s="74" t="s">
        <v>183</v>
      </c>
      <c r="E117" s="75" t="s">
        <v>184</v>
      </c>
      <c r="F117" s="74" t="s">
        <v>183</v>
      </c>
      <c r="G117" s="75" t="s">
        <v>184</v>
      </c>
      <c r="H117" s="74" t="s">
        <v>183</v>
      </c>
      <c r="I117" s="75" t="s">
        <v>184</v>
      </c>
      <c r="J117" s="74" t="s">
        <v>183</v>
      </c>
      <c r="K117" s="75" t="s">
        <v>184</v>
      </c>
      <c r="L117" s="74" t="s">
        <v>183</v>
      </c>
      <c r="M117" s="75" t="s">
        <v>184</v>
      </c>
      <c r="N117" s="73"/>
      <c r="O117" s="73"/>
      <c r="P117" s="73"/>
      <c r="Q117" s="73"/>
      <c r="R117" s="73"/>
      <c r="S117" s="73"/>
      <c r="T117" s="73"/>
      <c r="U117" s="73"/>
    </row>
    <row r="118" spans="1:21">
      <c r="A118" s="66" t="s">
        <v>185</v>
      </c>
      <c r="B118" s="76">
        <v>20675</v>
      </c>
      <c r="C118" s="77">
        <v>14921</v>
      </c>
      <c r="D118" s="76">
        <v>46327</v>
      </c>
      <c r="E118" s="77">
        <v>27504</v>
      </c>
      <c r="F118" s="76">
        <v>59336</v>
      </c>
      <c r="G118" s="77">
        <v>27906</v>
      </c>
      <c r="H118" s="76">
        <v>19252</v>
      </c>
      <c r="I118" s="77">
        <v>11771</v>
      </c>
      <c r="J118" s="76">
        <v>20781</v>
      </c>
      <c r="K118" s="77">
        <v>13113</v>
      </c>
      <c r="L118" s="76">
        <v>118405</v>
      </c>
      <c r="M118" s="77">
        <v>56858</v>
      </c>
      <c r="N118" s="73"/>
      <c r="O118" s="73"/>
      <c r="P118" s="73"/>
      <c r="Q118" s="73"/>
      <c r="R118" s="73"/>
      <c r="S118" s="73"/>
      <c r="T118" s="73"/>
      <c r="U118" s="73"/>
    </row>
    <row r="119" spans="1:21">
      <c r="A119" s="66" t="s">
        <v>186</v>
      </c>
      <c r="B119" s="76">
        <v>19534</v>
      </c>
      <c r="C119" s="77">
        <v>14706</v>
      </c>
      <c r="D119" s="76">
        <v>23262</v>
      </c>
      <c r="E119" s="77">
        <v>14357</v>
      </c>
      <c r="F119" s="76">
        <v>25033</v>
      </c>
      <c r="G119" s="77">
        <v>16563</v>
      </c>
      <c r="H119" s="76">
        <v>21894</v>
      </c>
      <c r="I119" s="77">
        <v>14736</v>
      </c>
      <c r="J119" s="76">
        <v>22891</v>
      </c>
      <c r="K119" s="77">
        <v>15955</v>
      </c>
      <c r="L119" s="76">
        <v>40225</v>
      </c>
      <c r="M119" s="77">
        <v>28628</v>
      </c>
      <c r="N119" s="73"/>
      <c r="O119" s="73"/>
      <c r="P119" s="73"/>
      <c r="Q119" s="73"/>
      <c r="R119" s="73"/>
      <c r="S119" s="73"/>
      <c r="T119" s="73"/>
      <c r="U119" s="73"/>
    </row>
    <row r="120" spans="1:21">
      <c r="A120" s="66" t="s">
        <v>187</v>
      </c>
      <c r="B120" s="76">
        <v>13132</v>
      </c>
      <c r="C120" s="77">
        <v>9242</v>
      </c>
      <c r="D120" s="76">
        <v>15415</v>
      </c>
      <c r="E120" s="77">
        <v>11681</v>
      </c>
      <c r="F120" s="76">
        <v>13367</v>
      </c>
      <c r="G120" s="77">
        <v>9078</v>
      </c>
      <c r="H120" s="76">
        <v>15502</v>
      </c>
      <c r="I120" s="77">
        <v>12008</v>
      </c>
      <c r="J120" s="76">
        <v>16399</v>
      </c>
      <c r="K120" s="77">
        <v>11387</v>
      </c>
      <c r="L120" s="76">
        <v>30940</v>
      </c>
      <c r="M120" s="77">
        <v>22167</v>
      </c>
      <c r="N120" s="73"/>
      <c r="O120" s="73"/>
      <c r="P120" s="73"/>
      <c r="Q120" s="73"/>
      <c r="R120" s="73"/>
      <c r="S120" s="73"/>
      <c r="T120" s="73"/>
      <c r="U120" s="73"/>
    </row>
    <row r="121" spans="1:21">
      <c r="A121" s="66" t="s">
        <v>188</v>
      </c>
      <c r="B121" s="76">
        <v>11749</v>
      </c>
      <c r="C121" s="77">
        <v>8951</v>
      </c>
      <c r="D121" s="76">
        <v>14972</v>
      </c>
      <c r="E121" s="77">
        <v>10869</v>
      </c>
      <c r="F121" s="76">
        <v>15269</v>
      </c>
      <c r="G121" s="77">
        <v>11432</v>
      </c>
      <c r="H121" s="76">
        <v>17495</v>
      </c>
      <c r="I121" s="77">
        <v>13941</v>
      </c>
      <c r="J121" s="76">
        <v>19849</v>
      </c>
      <c r="K121" s="77">
        <v>14955</v>
      </c>
      <c r="L121" s="76">
        <v>26157</v>
      </c>
      <c r="M121" s="77">
        <v>18209</v>
      </c>
      <c r="N121" s="73"/>
      <c r="O121" s="73"/>
      <c r="P121" s="73"/>
      <c r="Q121" s="73"/>
      <c r="R121" s="73"/>
      <c r="S121" s="73"/>
      <c r="T121" s="73"/>
      <c r="U121" s="73"/>
    </row>
    <row r="122" spans="1:21">
      <c r="A122" s="66" t="s">
        <v>189</v>
      </c>
      <c r="B122" s="76">
        <v>6528</v>
      </c>
      <c r="C122" s="77">
        <v>5362</v>
      </c>
      <c r="D122" s="76">
        <v>6615</v>
      </c>
      <c r="E122" s="77">
        <v>5039</v>
      </c>
      <c r="F122" s="76">
        <v>8186</v>
      </c>
      <c r="G122" s="77">
        <v>6342</v>
      </c>
      <c r="H122" s="76">
        <v>8570</v>
      </c>
      <c r="I122" s="77">
        <v>6963</v>
      </c>
      <c r="J122" s="76">
        <v>9536</v>
      </c>
      <c r="K122" s="77">
        <v>7543</v>
      </c>
      <c r="L122" s="76">
        <v>23513</v>
      </c>
      <c r="M122" s="77">
        <v>17701</v>
      </c>
      <c r="N122" s="73"/>
      <c r="O122" s="73"/>
      <c r="P122" s="73"/>
      <c r="Q122" s="73"/>
      <c r="R122" s="73"/>
      <c r="S122" s="73"/>
      <c r="T122" s="73"/>
      <c r="U122" s="73"/>
    </row>
    <row r="123" spans="1:21">
      <c r="A123" s="66" t="s">
        <v>190</v>
      </c>
      <c r="B123" s="76">
        <v>3933</v>
      </c>
      <c r="C123" s="77">
        <v>2554</v>
      </c>
      <c r="D123" s="76">
        <v>3485</v>
      </c>
      <c r="E123" s="77">
        <v>2225</v>
      </c>
      <c r="F123" s="76">
        <v>4405</v>
      </c>
      <c r="G123" s="77">
        <v>2803</v>
      </c>
      <c r="H123" s="76">
        <v>4615</v>
      </c>
      <c r="I123" s="77">
        <v>3151</v>
      </c>
      <c r="J123" s="76">
        <v>4904</v>
      </c>
      <c r="K123" s="77">
        <v>3312</v>
      </c>
      <c r="L123" s="76">
        <v>8060</v>
      </c>
      <c r="M123" s="77">
        <v>4684</v>
      </c>
      <c r="N123" s="73"/>
      <c r="O123" s="73"/>
      <c r="P123" s="73"/>
      <c r="Q123" s="73"/>
      <c r="R123" s="73"/>
      <c r="S123" s="73"/>
      <c r="T123" s="73"/>
      <c r="U123" s="73"/>
    </row>
    <row r="124" spans="1:21" ht="17.45" thickBot="1">
      <c r="A124" s="82" t="s">
        <v>191</v>
      </c>
      <c r="B124" s="79">
        <v>80206</v>
      </c>
      <c r="C124" s="80">
        <v>60564</v>
      </c>
      <c r="D124" s="79">
        <v>104891</v>
      </c>
      <c r="E124" s="80">
        <v>75835</v>
      </c>
      <c r="F124" s="79">
        <v>129155</v>
      </c>
      <c r="G124" s="80">
        <v>78808</v>
      </c>
      <c r="H124" s="79">
        <v>87489</v>
      </c>
      <c r="I124" s="80">
        <v>67976</v>
      </c>
      <c r="J124" s="79">
        <v>99664</v>
      </c>
      <c r="K124" s="80">
        <v>71976</v>
      </c>
      <c r="L124" s="79">
        <v>270077</v>
      </c>
      <c r="M124" s="80">
        <v>172478</v>
      </c>
      <c r="N124" s="73"/>
      <c r="O124" s="73"/>
      <c r="P124" s="73"/>
      <c r="Q124" s="73"/>
      <c r="R124" s="73"/>
      <c r="S124" s="73"/>
      <c r="T124" s="73"/>
      <c r="U124" s="73"/>
    </row>
    <row r="125" spans="1:21">
      <c r="A125" s="83" t="s">
        <v>198</v>
      </c>
      <c r="B125" s="162">
        <v>626648</v>
      </c>
      <c r="C125" s="159"/>
      <c r="D125" s="159">
        <v>630496</v>
      </c>
      <c r="E125" s="159"/>
      <c r="F125" s="159">
        <v>664855</v>
      </c>
      <c r="G125" s="159"/>
      <c r="H125" s="159">
        <v>584719</v>
      </c>
      <c r="I125" s="159"/>
      <c r="J125" s="159">
        <v>575906</v>
      </c>
      <c r="K125" s="159"/>
      <c r="L125" s="159">
        <v>742727</v>
      </c>
      <c r="M125" s="160"/>
      <c r="N125" s="81"/>
      <c r="O125" s="81"/>
      <c r="P125" s="81"/>
      <c r="Q125" s="81"/>
      <c r="R125" s="81"/>
      <c r="S125" s="81"/>
      <c r="T125" s="81"/>
      <c r="U125" s="81"/>
    </row>
    <row r="126" spans="1:21" ht="17.45" thickBot="1">
      <c r="A126" s="84" t="s">
        <v>193</v>
      </c>
      <c r="B126" s="156">
        <v>5668372</v>
      </c>
      <c r="C126" s="157"/>
      <c r="D126" s="157">
        <v>5232437</v>
      </c>
      <c r="E126" s="157"/>
      <c r="F126" s="157">
        <v>6236866</v>
      </c>
      <c r="G126" s="157"/>
      <c r="H126" s="157">
        <v>6568305</v>
      </c>
      <c r="I126" s="157"/>
      <c r="J126" s="157">
        <v>6719165</v>
      </c>
      <c r="K126" s="157"/>
      <c r="L126" s="157">
        <v>6181442</v>
      </c>
      <c r="M126" s="161"/>
      <c r="N126" s="81"/>
      <c r="O126" s="81"/>
      <c r="P126" s="81"/>
      <c r="Q126" s="81"/>
      <c r="R126" s="81"/>
      <c r="S126" s="81"/>
      <c r="T126" s="81"/>
      <c r="U126" s="81"/>
    </row>
    <row r="127" spans="1:21"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3"/>
      <c r="O127" s="73"/>
      <c r="P127" s="73"/>
      <c r="Q127" s="73"/>
      <c r="R127" s="73"/>
      <c r="S127" s="73"/>
      <c r="T127" s="73"/>
      <c r="U127" s="73"/>
    </row>
    <row r="128" spans="1:21">
      <c r="P128" s="130"/>
      <c r="S128" s="72"/>
    </row>
    <row r="129" spans="1:21">
      <c r="A129" s="70"/>
      <c r="B129" s="165">
        <v>45943</v>
      </c>
      <c r="C129" s="166"/>
      <c r="D129" s="165">
        <v>45944</v>
      </c>
      <c r="E129" s="166"/>
      <c r="F129" s="165">
        <v>45945</v>
      </c>
      <c r="G129" s="166"/>
      <c r="H129" s="165">
        <v>45947</v>
      </c>
      <c r="I129" s="166"/>
      <c r="J129" s="165">
        <v>45948</v>
      </c>
      <c r="K129" s="166"/>
      <c r="L129" s="165">
        <v>45949</v>
      </c>
      <c r="M129" s="166"/>
      <c r="N129" s="73"/>
      <c r="O129" s="73"/>
      <c r="P129" s="130"/>
      <c r="Q129" s="73"/>
      <c r="R129" s="73"/>
      <c r="S129" s="73"/>
      <c r="T129" s="73"/>
      <c r="U129" s="73"/>
    </row>
    <row r="130" spans="1:21">
      <c r="A130" s="69"/>
      <c r="B130" s="152" t="s">
        <v>205</v>
      </c>
      <c r="C130" s="153"/>
      <c r="D130" s="152" t="s">
        <v>205</v>
      </c>
      <c r="E130" s="153"/>
      <c r="F130" s="152" t="s">
        <v>205</v>
      </c>
      <c r="G130" s="153"/>
      <c r="H130" s="152" t="s">
        <v>205</v>
      </c>
      <c r="I130" s="153"/>
      <c r="J130" s="152" t="s">
        <v>205</v>
      </c>
      <c r="K130" s="153"/>
      <c r="L130" s="152" t="s">
        <v>205</v>
      </c>
      <c r="M130" s="153"/>
      <c r="N130" s="73"/>
      <c r="O130" s="73"/>
      <c r="P130" s="73"/>
      <c r="Q130" s="73"/>
      <c r="R130" s="73"/>
      <c r="S130" s="73"/>
      <c r="T130" s="73"/>
      <c r="U130" s="73"/>
    </row>
    <row r="131" spans="1:21">
      <c r="A131" s="69"/>
      <c r="B131" s="152" t="s">
        <v>169</v>
      </c>
      <c r="C131" s="153"/>
      <c r="D131" s="152" t="s">
        <v>170</v>
      </c>
      <c r="E131" s="153"/>
      <c r="F131" s="152" t="s">
        <v>171</v>
      </c>
      <c r="G131" s="153"/>
      <c r="H131" s="152" t="s">
        <v>172</v>
      </c>
      <c r="I131" s="153"/>
      <c r="J131" s="152" t="s">
        <v>173</v>
      </c>
      <c r="K131" s="153"/>
      <c r="L131" s="152" t="s">
        <v>174</v>
      </c>
      <c r="M131" s="153"/>
      <c r="N131" s="73"/>
      <c r="O131" s="73"/>
      <c r="P131" s="73"/>
      <c r="Q131" s="73"/>
      <c r="R131" s="73"/>
      <c r="S131" s="73"/>
      <c r="T131" s="73"/>
      <c r="U131" s="73"/>
    </row>
    <row r="132" spans="1:21">
      <c r="A132" s="69"/>
      <c r="B132" s="152" t="s">
        <v>179</v>
      </c>
      <c r="C132" s="153"/>
      <c r="D132" s="152" t="s">
        <v>179</v>
      </c>
      <c r="E132" s="153"/>
      <c r="F132" s="152" t="s">
        <v>179</v>
      </c>
      <c r="G132" s="153"/>
      <c r="H132" s="152" t="s">
        <v>181</v>
      </c>
      <c r="I132" s="153"/>
      <c r="J132" s="152" t="s">
        <v>181</v>
      </c>
      <c r="K132" s="153"/>
      <c r="L132" s="152" t="s">
        <v>181</v>
      </c>
      <c r="M132" s="153"/>
      <c r="N132" s="73"/>
      <c r="O132" s="73"/>
      <c r="P132" s="73"/>
      <c r="Q132" s="73"/>
      <c r="R132" s="73"/>
      <c r="S132" s="73"/>
      <c r="T132" s="73"/>
      <c r="U132" s="73"/>
    </row>
    <row r="133" spans="1:21">
      <c r="A133" s="65" t="s">
        <v>182</v>
      </c>
      <c r="B133" s="74" t="s">
        <v>183</v>
      </c>
      <c r="C133" s="75" t="s">
        <v>184</v>
      </c>
      <c r="D133" s="74" t="s">
        <v>183</v>
      </c>
      <c r="E133" s="75" t="s">
        <v>184</v>
      </c>
      <c r="F133" s="74" t="s">
        <v>183</v>
      </c>
      <c r="G133" s="75" t="s">
        <v>184</v>
      </c>
      <c r="H133" s="74" t="s">
        <v>183</v>
      </c>
      <c r="I133" s="75" t="s">
        <v>184</v>
      </c>
      <c r="J133" s="74" t="s">
        <v>183</v>
      </c>
      <c r="K133" s="75" t="s">
        <v>184</v>
      </c>
      <c r="L133" s="74" t="s">
        <v>183</v>
      </c>
      <c r="M133" s="75" t="s">
        <v>184</v>
      </c>
      <c r="N133" s="73"/>
      <c r="O133" s="73"/>
      <c r="P133" s="73"/>
      <c r="Q133" s="73"/>
      <c r="R133" s="73"/>
      <c r="S133" s="73"/>
      <c r="T133" s="73"/>
      <c r="U133" s="73"/>
    </row>
    <row r="134" spans="1:21">
      <c r="A134" s="66" t="s">
        <v>185</v>
      </c>
      <c r="B134" s="76">
        <v>87658</v>
      </c>
      <c r="C134" s="77">
        <v>47568</v>
      </c>
      <c r="D134" s="76">
        <v>74280</v>
      </c>
      <c r="E134" s="77">
        <v>41001</v>
      </c>
      <c r="F134" s="76">
        <v>28433</v>
      </c>
      <c r="G134" s="77">
        <v>14932</v>
      </c>
      <c r="H134" s="76">
        <v>71734</v>
      </c>
      <c r="I134" s="77">
        <v>41358</v>
      </c>
      <c r="J134" s="76">
        <v>63665</v>
      </c>
      <c r="K134" s="77">
        <v>36042</v>
      </c>
      <c r="L134" s="76">
        <v>87280</v>
      </c>
      <c r="M134" s="77">
        <v>53177</v>
      </c>
      <c r="N134" s="73"/>
      <c r="O134" s="73"/>
      <c r="P134" s="73"/>
      <c r="Q134" s="73"/>
      <c r="R134" s="73"/>
      <c r="S134" s="73"/>
      <c r="T134" s="73"/>
      <c r="U134" s="73"/>
    </row>
    <row r="135" spans="1:21">
      <c r="A135" s="66" t="s">
        <v>186</v>
      </c>
      <c r="B135" s="76">
        <v>20473</v>
      </c>
      <c r="C135" s="77">
        <v>12441</v>
      </c>
      <c r="D135" s="76">
        <v>20363</v>
      </c>
      <c r="E135" s="77">
        <v>12518</v>
      </c>
      <c r="F135" s="76">
        <v>24972</v>
      </c>
      <c r="G135" s="77">
        <v>14312</v>
      </c>
      <c r="H135" s="76">
        <v>21868</v>
      </c>
      <c r="I135" s="77">
        <v>13475</v>
      </c>
      <c r="J135" s="76">
        <v>20225</v>
      </c>
      <c r="K135" s="77">
        <v>13390</v>
      </c>
      <c r="L135" s="76">
        <v>34734</v>
      </c>
      <c r="M135" s="77">
        <v>23181</v>
      </c>
      <c r="N135" s="73"/>
      <c r="O135" s="73"/>
      <c r="P135" s="73"/>
      <c r="Q135" s="73"/>
      <c r="R135" s="73"/>
      <c r="S135" s="73"/>
      <c r="T135" s="73"/>
      <c r="U135" s="73"/>
    </row>
    <row r="136" spans="1:21">
      <c r="A136" s="66" t="s">
        <v>187</v>
      </c>
      <c r="B136" s="76">
        <v>11316</v>
      </c>
      <c r="C136" s="77">
        <v>9137</v>
      </c>
      <c r="D136" s="76">
        <v>12660</v>
      </c>
      <c r="E136" s="77">
        <v>8630</v>
      </c>
      <c r="F136" s="76">
        <v>10201</v>
      </c>
      <c r="G136" s="77">
        <v>7599</v>
      </c>
      <c r="H136" s="76">
        <v>11232</v>
      </c>
      <c r="I136" s="77">
        <v>8397</v>
      </c>
      <c r="J136" s="76">
        <v>10515</v>
      </c>
      <c r="K136" s="77">
        <v>6441</v>
      </c>
      <c r="L136" s="76">
        <v>11556</v>
      </c>
      <c r="M136" s="77">
        <v>8934</v>
      </c>
      <c r="N136" s="73"/>
      <c r="O136" s="73"/>
      <c r="P136" s="73"/>
      <c r="Q136" s="73"/>
      <c r="R136" s="73"/>
      <c r="S136" s="73"/>
      <c r="T136" s="73"/>
      <c r="U136" s="73"/>
    </row>
    <row r="137" spans="1:21">
      <c r="A137" s="66" t="s">
        <v>188</v>
      </c>
      <c r="B137" s="76">
        <v>9239</v>
      </c>
      <c r="C137" s="77">
        <v>7290</v>
      </c>
      <c r="D137" s="76">
        <v>11110</v>
      </c>
      <c r="E137" s="77">
        <v>7886</v>
      </c>
      <c r="F137" s="76">
        <v>10981</v>
      </c>
      <c r="G137" s="77">
        <v>7938</v>
      </c>
      <c r="H137" s="76">
        <v>14345</v>
      </c>
      <c r="I137" s="77">
        <v>10347</v>
      </c>
      <c r="J137" s="76">
        <v>15526</v>
      </c>
      <c r="K137" s="77">
        <v>11319</v>
      </c>
      <c r="L137" s="76">
        <v>18478</v>
      </c>
      <c r="M137" s="77">
        <v>13382</v>
      </c>
      <c r="N137" s="73"/>
      <c r="O137" s="73"/>
      <c r="P137" s="73"/>
      <c r="Q137" s="73"/>
      <c r="R137" s="73"/>
      <c r="S137" s="73"/>
      <c r="T137" s="73"/>
      <c r="U137" s="73"/>
    </row>
    <row r="138" spans="1:21">
      <c r="A138" s="66" t="s">
        <v>189</v>
      </c>
      <c r="B138" s="76">
        <v>5593</v>
      </c>
      <c r="C138" s="77">
        <v>4687</v>
      </c>
      <c r="D138" s="76">
        <v>4974</v>
      </c>
      <c r="E138" s="77">
        <v>4024</v>
      </c>
      <c r="F138" s="76">
        <v>4749</v>
      </c>
      <c r="G138" s="77">
        <v>3943</v>
      </c>
      <c r="H138" s="76">
        <v>5878</v>
      </c>
      <c r="I138" s="77">
        <v>4451</v>
      </c>
      <c r="J138" s="76">
        <v>6344</v>
      </c>
      <c r="K138" s="77">
        <v>2336</v>
      </c>
      <c r="L138" s="76">
        <v>16173</v>
      </c>
      <c r="M138" s="77">
        <v>10686</v>
      </c>
      <c r="N138" s="73"/>
      <c r="O138" s="73"/>
      <c r="P138" s="73"/>
      <c r="Q138" s="73"/>
      <c r="R138" s="73"/>
      <c r="S138" s="73"/>
      <c r="T138" s="73"/>
      <c r="U138" s="73"/>
    </row>
    <row r="139" spans="1:21">
      <c r="A139" s="66" t="s">
        <v>190</v>
      </c>
      <c r="B139" s="76">
        <v>2555</v>
      </c>
      <c r="C139" s="77">
        <v>1692</v>
      </c>
      <c r="D139" s="76">
        <v>2886</v>
      </c>
      <c r="E139" s="77">
        <v>1744</v>
      </c>
      <c r="F139" s="76">
        <v>3364</v>
      </c>
      <c r="G139" s="77">
        <v>2066</v>
      </c>
      <c r="H139" s="76">
        <v>4134</v>
      </c>
      <c r="I139" s="77">
        <v>2835</v>
      </c>
      <c r="J139" s="76">
        <v>3903</v>
      </c>
      <c r="K139" s="77">
        <v>2153</v>
      </c>
      <c r="L139" s="76">
        <v>7028</v>
      </c>
      <c r="M139" s="77">
        <v>4678</v>
      </c>
      <c r="N139" s="73"/>
      <c r="O139" s="73"/>
      <c r="P139" s="73"/>
      <c r="Q139" s="73"/>
      <c r="R139" s="73"/>
      <c r="S139" s="73"/>
      <c r="T139" s="73"/>
      <c r="U139" s="73"/>
    </row>
    <row r="140" spans="1:21" ht="17.45" thickBot="1">
      <c r="A140" s="82" t="s">
        <v>191</v>
      </c>
      <c r="B140" s="79">
        <v>137016</v>
      </c>
      <c r="C140" s="80">
        <v>86771</v>
      </c>
      <c r="D140" s="79">
        <v>126889</v>
      </c>
      <c r="E140" s="80">
        <v>79427</v>
      </c>
      <c r="F140" s="79">
        <v>86803</v>
      </c>
      <c r="G140" s="80">
        <v>54083</v>
      </c>
      <c r="H140" s="79">
        <v>129832</v>
      </c>
      <c r="I140" s="80">
        <v>84705</v>
      </c>
      <c r="J140" s="79">
        <v>123983</v>
      </c>
      <c r="K140" s="80">
        <v>75719</v>
      </c>
      <c r="L140" s="79">
        <v>173324</v>
      </c>
      <c r="M140" s="80">
        <v>120824</v>
      </c>
      <c r="N140" s="73"/>
      <c r="O140" s="73"/>
      <c r="P140" s="73"/>
      <c r="Q140" s="73"/>
      <c r="R140" s="73"/>
      <c r="S140" s="73"/>
      <c r="T140" s="73"/>
      <c r="U140" s="73"/>
    </row>
    <row r="141" spans="1:21">
      <c r="A141" s="83" t="s">
        <v>198</v>
      </c>
      <c r="B141" s="162">
        <v>672008</v>
      </c>
      <c r="C141" s="159"/>
      <c r="D141" s="159">
        <v>662115</v>
      </c>
      <c r="E141" s="159"/>
      <c r="F141" s="159">
        <v>584242</v>
      </c>
      <c r="G141" s="159"/>
      <c r="H141" s="159">
        <v>692372</v>
      </c>
      <c r="I141" s="159"/>
      <c r="J141" s="159">
        <v>647893</v>
      </c>
      <c r="K141" s="159"/>
      <c r="L141" s="159">
        <v>670772</v>
      </c>
      <c r="M141" s="160"/>
      <c r="N141" s="81"/>
      <c r="O141" s="81"/>
      <c r="P141" s="81"/>
      <c r="Q141" s="81"/>
      <c r="R141" s="81"/>
      <c r="S141" s="81"/>
      <c r="T141" s="81"/>
      <c r="U141" s="81"/>
    </row>
    <row r="142" spans="1:21" ht="17.45" thickBot="1">
      <c r="A142" s="84" t="s">
        <v>193</v>
      </c>
      <c r="B142" s="156">
        <v>5551978</v>
      </c>
      <c r="C142" s="157"/>
      <c r="D142" s="157">
        <v>6219864</v>
      </c>
      <c r="E142" s="157"/>
      <c r="F142" s="157">
        <v>6212738</v>
      </c>
      <c r="G142" s="157"/>
      <c r="H142" s="157">
        <v>5836521</v>
      </c>
      <c r="I142" s="157"/>
      <c r="J142" s="157">
        <v>6124211</v>
      </c>
      <c r="K142" s="157"/>
      <c r="L142" s="157">
        <v>6325252</v>
      </c>
      <c r="M142" s="161"/>
      <c r="N142" s="81"/>
      <c r="O142" s="81"/>
      <c r="P142" s="81"/>
      <c r="Q142" s="81"/>
      <c r="R142" s="81"/>
      <c r="S142" s="81"/>
      <c r="T142" s="81"/>
      <c r="U142" s="81"/>
    </row>
    <row r="143" spans="1:21"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3"/>
      <c r="O143" s="73"/>
      <c r="P143" s="73"/>
      <c r="Q143" s="73"/>
      <c r="R143" s="73"/>
      <c r="S143" s="73"/>
      <c r="T143" s="73"/>
      <c r="U143" s="73"/>
    </row>
    <row r="144" spans="1:21" ht="17.45" thickBot="1"/>
    <row r="145" spans="1:21">
      <c r="A145" s="70"/>
      <c r="B145" s="165">
        <v>45957</v>
      </c>
      <c r="C145" s="166"/>
      <c r="D145" s="165">
        <v>45958</v>
      </c>
      <c r="E145" s="166"/>
      <c r="F145" s="165">
        <v>45959</v>
      </c>
      <c r="G145" s="166"/>
      <c r="H145" s="165">
        <v>45961</v>
      </c>
      <c r="I145" s="166"/>
      <c r="J145" s="165">
        <v>45962</v>
      </c>
      <c r="K145" s="166"/>
      <c r="L145" s="165">
        <v>45963</v>
      </c>
      <c r="M145" s="166"/>
      <c r="N145" s="73"/>
      <c r="O145" s="73"/>
      <c r="P145" s="73"/>
      <c r="Q145" s="73"/>
      <c r="R145" s="73"/>
      <c r="S145" s="73"/>
      <c r="T145" s="73"/>
      <c r="U145" s="73"/>
    </row>
    <row r="146" spans="1:21">
      <c r="A146" s="69"/>
      <c r="B146" s="152" t="s">
        <v>206</v>
      </c>
      <c r="C146" s="153"/>
      <c r="D146" s="152" t="s">
        <v>206</v>
      </c>
      <c r="E146" s="153"/>
      <c r="F146" s="152" t="s">
        <v>206</v>
      </c>
      <c r="G146" s="153"/>
      <c r="H146" s="152" t="s">
        <v>206</v>
      </c>
      <c r="I146" s="153"/>
      <c r="J146" s="152" t="s">
        <v>206</v>
      </c>
      <c r="K146" s="153"/>
      <c r="L146" s="152" t="s">
        <v>206</v>
      </c>
      <c r="M146" s="153"/>
      <c r="N146" s="73"/>
      <c r="O146" s="73"/>
      <c r="P146" s="73"/>
      <c r="Q146" s="73"/>
      <c r="R146" s="73"/>
      <c r="S146" s="73"/>
      <c r="T146" s="73"/>
      <c r="U146" s="73"/>
    </row>
    <row r="147" spans="1:21">
      <c r="A147" s="69"/>
      <c r="B147" s="152" t="s">
        <v>169</v>
      </c>
      <c r="C147" s="153"/>
      <c r="D147" s="152" t="s">
        <v>170</v>
      </c>
      <c r="E147" s="153"/>
      <c r="F147" s="152" t="s">
        <v>171</v>
      </c>
      <c r="G147" s="153"/>
      <c r="H147" s="152" t="s">
        <v>172</v>
      </c>
      <c r="I147" s="153"/>
      <c r="J147" s="152" t="s">
        <v>173</v>
      </c>
      <c r="K147" s="153"/>
      <c r="L147" s="152" t="s">
        <v>174</v>
      </c>
      <c r="M147" s="153"/>
      <c r="N147" s="73"/>
      <c r="O147" s="73"/>
      <c r="P147" s="73"/>
      <c r="Q147" s="73"/>
      <c r="R147" s="73"/>
      <c r="S147" s="73"/>
      <c r="T147" s="73"/>
      <c r="U147" s="73"/>
    </row>
    <row r="148" spans="1:21">
      <c r="A148" s="69"/>
      <c r="B148" s="152" t="s">
        <v>179</v>
      </c>
      <c r="C148" s="153"/>
      <c r="D148" s="152" t="s">
        <v>179</v>
      </c>
      <c r="E148" s="153"/>
      <c r="F148" s="152" t="s">
        <v>179</v>
      </c>
      <c r="G148" s="153"/>
      <c r="H148" s="152" t="s">
        <v>181</v>
      </c>
      <c r="I148" s="153"/>
      <c r="J148" s="152" t="s">
        <v>181</v>
      </c>
      <c r="K148" s="153"/>
      <c r="L148" s="152" t="s">
        <v>181</v>
      </c>
      <c r="M148" s="153"/>
      <c r="N148" s="73"/>
      <c r="O148" s="73"/>
      <c r="P148" s="73"/>
      <c r="Q148" s="73"/>
      <c r="R148" s="73"/>
      <c r="S148" s="73"/>
      <c r="T148" s="73"/>
      <c r="U148" s="73"/>
    </row>
    <row r="149" spans="1:21">
      <c r="A149" s="65" t="s">
        <v>182</v>
      </c>
      <c r="B149" s="74" t="s">
        <v>183</v>
      </c>
      <c r="C149" s="75" t="s">
        <v>184</v>
      </c>
      <c r="D149" s="74" t="s">
        <v>183</v>
      </c>
      <c r="E149" s="75" t="s">
        <v>184</v>
      </c>
      <c r="F149" s="74" t="s">
        <v>183</v>
      </c>
      <c r="G149" s="75" t="s">
        <v>184</v>
      </c>
      <c r="H149" s="74" t="s">
        <v>183</v>
      </c>
      <c r="I149" s="75" t="s">
        <v>184</v>
      </c>
      <c r="J149" s="74" t="s">
        <v>183</v>
      </c>
      <c r="K149" s="75" t="s">
        <v>184</v>
      </c>
      <c r="L149" s="74" t="s">
        <v>183</v>
      </c>
      <c r="M149" s="75" t="s">
        <v>184</v>
      </c>
      <c r="N149" s="73"/>
      <c r="O149" s="73"/>
      <c r="P149" s="73"/>
      <c r="Q149" s="73"/>
      <c r="R149" s="73"/>
      <c r="S149" s="73"/>
      <c r="T149" s="73"/>
      <c r="U149" s="73"/>
    </row>
    <row r="150" spans="1:21">
      <c r="A150" s="66" t="s">
        <v>185</v>
      </c>
      <c r="B150" s="76">
        <v>19574</v>
      </c>
      <c r="C150" s="77">
        <v>13635</v>
      </c>
      <c r="D150" s="76">
        <v>59173</v>
      </c>
      <c r="E150" s="77">
        <v>34634</v>
      </c>
      <c r="F150" s="76">
        <v>74652</v>
      </c>
      <c r="G150" s="77">
        <v>45646</v>
      </c>
      <c r="H150" s="76">
        <v>88930</v>
      </c>
      <c r="I150" s="77">
        <v>48766</v>
      </c>
      <c r="J150" s="76">
        <v>82240</v>
      </c>
      <c r="K150" s="77">
        <v>44202</v>
      </c>
      <c r="L150" s="76">
        <v>133606</v>
      </c>
      <c r="M150" s="77">
        <v>102448</v>
      </c>
      <c r="N150" s="73"/>
      <c r="O150" s="73"/>
      <c r="P150" s="73"/>
      <c r="Q150" s="73"/>
      <c r="R150" s="73"/>
      <c r="S150" s="73"/>
      <c r="T150" s="73"/>
      <c r="U150" s="73"/>
    </row>
    <row r="151" spans="1:21">
      <c r="A151" s="66" t="s">
        <v>186</v>
      </c>
      <c r="B151" s="76">
        <v>18606</v>
      </c>
      <c r="C151" s="77">
        <v>12824</v>
      </c>
      <c r="D151" s="76">
        <v>19334</v>
      </c>
      <c r="E151" s="77">
        <v>13390</v>
      </c>
      <c r="F151" s="76">
        <v>25960</v>
      </c>
      <c r="G151" s="77">
        <v>14700</v>
      </c>
      <c r="H151" s="76">
        <v>21886</v>
      </c>
      <c r="I151" s="77">
        <v>14705</v>
      </c>
      <c r="J151" s="76">
        <v>26385</v>
      </c>
      <c r="K151" s="77">
        <v>18211</v>
      </c>
      <c r="L151" s="76">
        <v>36767</v>
      </c>
      <c r="M151" s="77">
        <v>26377</v>
      </c>
      <c r="N151" s="73"/>
      <c r="O151" s="73"/>
      <c r="P151" s="73"/>
      <c r="Q151" s="73"/>
      <c r="R151" s="73"/>
      <c r="S151" s="73"/>
      <c r="T151" s="73"/>
      <c r="U151" s="73"/>
    </row>
    <row r="152" spans="1:21">
      <c r="A152" s="66" t="s">
        <v>187</v>
      </c>
      <c r="B152" s="76">
        <v>11749</v>
      </c>
      <c r="C152" s="77">
        <v>9406</v>
      </c>
      <c r="D152" s="76">
        <v>14106</v>
      </c>
      <c r="E152" s="77">
        <v>10030</v>
      </c>
      <c r="F152" s="76">
        <v>13422</v>
      </c>
      <c r="G152" s="77">
        <v>9835</v>
      </c>
      <c r="H152" s="76">
        <v>13903</v>
      </c>
      <c r="I152" s="77">
        <v>9933</v>
      </c>
      <c r="J152" s="76">
        <v>13124</v>
      </c>
      <c r="K152" s="77">
        <v>9918</v>
      </c>
      <c r="L152" s="76">
        <v>16371</v>
      </c>
      <c r="M152" s="77">
        <v>12881</v>
      </c>
      <c r="N152" s="73"/>
      <c r="O152" s="73"/>
      <c r="P152" s="73"/>
      <c r="Q152" s="73"/>
      <c r="R152" s="73"/>
      <c r="S152" s="73"/>
      <c r="T152" s="73"/>
      <c r="U152" s="73"/>
    </row>
    <row r="153" spans="1:21">
      <c r="A153" s="66" t="s">
        <v>188</v>
      </c>
      <c r="B153" s="76">
        <v>10487</v>
      </c>
      <c r="C153" s="77">
        <v>8399</v>
      </c>
      <c r="D153" s="76">
        <v>11547</v>
      </c>
      <c r="E153" s="77">
        <v>9083</v>
      </c>
      <c r="F153" s="76">
        <v>15890</v>
      </c>
      <c r="G153" s="77">
        <v>10349</v>
      </c>
      <c r="H153" s="76">
        <v>11667</v>
      </c>
      <c r="I153" s="77">
        <v>8301</v>
      </c>
      <c r="J153" s="76">
        <v>11101</v>
      </c>
      <c r="K153" s="77">
        <v>8591</v>
      </c>
      <c r="L153" s="76">
        <v>15705</v>
      </c>
      <c r="M153" s="77">
        <v>11177</v>
      </c>
      <c r="N153" s="73"/>
      <c r="O153" s="73"/>
      <c r="P153" s="73"/>
      <c r="Q153" s="73"/>
      <c r="R153" s="73"/>
      <c r="S153" s="73"/>
      <c r="T153" s="73"/>
      <c r="U153" s="73"/>
    </row>
    <row r="154" spans="1:21">
      <c r="A154" s="66" t="s">
        <v>189</v>
      </c>
      <c r="B154" s="76">
        <v>5981</v>
      </c>
      <c r="C154" s="77">
        <v>5070</v>
      </c>
      <c r="D154" s="76">
        <v>5528</v>
      </c>
      <c r="E154" s="77">
        <v>4419</v>
      </c>
      <c r="F154" s="76">
        <v>6906</v>
      </c>
      <c r="G154" s="77">
        <v>4830</v>
      </c>
      <c r="H154" s="76">
        <v>6578</v>
      </c>
      <c r="I154" s="77">
        <v>5326</v>
      </c>
      <c r="J154" s="76">
        <v>6559</v>
      </c>
      <c r="K154" s="77">
        <v>5313</v>
      </c>
      <c r="L154" s="76">
        <v>18511</v>
      </c>
      <c r="M154" s="77">
        <v>14519</v>
      </c>
      <c r="N154" s="73"/>
      <c r="O154" s="73"/>
      <c r="P154" s="73"/>
      <c r="Q154" s="73"/>
      <c r="R154" s="73"/>
      <c r="S154" s="73"/>
      <c r="T154" s="73"/>
      <c r="U154" s="73"/>
    </row>
    <row r="155" spans="1:21">
      <c r="A155" s="66" t="s">
        <v>190</v>
      </c>
      <c r="B155" s="76">
        <v>3043</v>
      </c>
      <c r="C155" s="77">
        <v>2085</v>
      </c>
      <c r="D155" s="76">
        <v>2527</v>
      </c>
      <c r="E155" s="77">
        <v>1844</v>
      </c>
      <c r="F155" s="76">
        <v>2740</v>
      </c>
      <c r="G155" s="77">
        <v>1869</v>
      </c>
      <c r="H155" s="76">
        <v>2481</v>
      </c>
      <c r="I155" s="77">
        <v>1684</v>
      </c>
      <c r="J155" s="76">
        <v>2399</v>
      </c>
      <c r="K155" s="77">
        <v>1679</v>
      </c>
      <c r="L155" s="76">
        <v>3154</v>
      </c>
      <c r="M155" s="77">
        <v>2024</v>
      </c>
      <c r="N155" s="73"/>
      <c r="O155" s="73"/>
      <c r="P155" s="73"/>
      <c r="Q155" s="73"/>
      <c r="R155" s="73"/>
      <c r="S155" s="73"/>
      <c r="T155" s="73"/>
      <c r="U155" s="73"/>
    </row>
    <row r="156" spans="1:21" ht="17.45" thickBot="1">
      <c r="A156" s="82" t="s">
        <v>191</v>
      </c>
      <c r="B156" s="79">
        <v>71618</v>
      </c>
      <c r="C156" s="80">
        <v>55779</v>
      </c>
      <c r="D156" s="79">
        <v>107547</v>
      </c>
      <c r="E156" s="80">
        <v>77766</v>
      </c>
      <c r="F156" s="79">
        <v>145451</v>
      </c>
      <c r="G156" s="80">
        <v>91470</v>
      </c>
      <c r="H156" s="79">
        <v>147255</v>
      </c>
      <c r="I156" s="80">
        <v>92441</v>
      </c>
      <c r="J156" s="79">
        <v>148832</v>
      </c>
      <c r="K156" s="80">
        <v>97023</v>
      </c>
      <c r="L156" s="79">
        <v>227376</v>
      </c>
      <c r="M156" s="80">
        <v>182830</v>
      </c>
      <c r="N156" s="73"/>
      <c r="O156" s="73"/>
      <c r="P156" s="73"/>
      <c r="Q156" s="73"/>
      <c r="R156" s="73"/>
      <c r="S156" s="73"/>
      <c r="T156" s="73"/>
      <c r="U156" s="73"/>
    </row>
    <row r="157" spans="1:21">
      <c r="A157" s="83" t="s">
        <v>198</v>
      </c>
      <c r="B157" s="162">
        <v>629037</v>
      </c>
      <c r="C157" s="159"/>
      <c r="D157" s="159">
        <v>736686</v>
      </c>
      <c r="E157" s="159"/>
      <c r="F157" s="159">
        <v>782143</v>
      </c>
      <c r="G157" s="159"/>
      <c r="H157" s="159">
        <v>790460</v>
      </c>
      <c r="I157" s="159"/>
      <c r="J157" s="159">
        <v>762466</v>
      </c>
      <c r="K157" s="159"/>
      <c r="L157" s="159">
        <v>715811</v>
      </c>
      <c r="M157" s="160"/>
      <c r="N157" s="81"/>
      <c r="O157" s="81"/>
      <c r="P157" s="81"/>
      <c r="Q157" s="81"/>
      <c r="R157" s="81"/>
      <c r="S157" s="81"/>
      <c r="T157" s="81"/>
      <c r="U157" s="81"/>
    </row>
    <row r="158" spans="1:21" ht="17.45" thickBot="1">
      <c r="A158" s="84" t="s">
        <v>193</v>
      </c>
      <c r="B158" s="156">
        <v>5848742</v>
      </c>
      <c r="C158" s="157"/>
      <c r="D158" s="157">
        <v>6565806</v>
      </c>
      <c r="E158" s="157"/>
      <c r="F158" s="157">
        <v>6207421</v>
      </c>
      <c r="G158" s="157"/>
      <c r="H158" s="157">
        <v>5743665</v>
      </c>
      <c r="I158" s="157"/>
      <c r="J158" s="157">
        <v>5391582</v>
      </c>
      <c r="K158" s="157"/>
      <c r="L158" s="157">
        <v>5817503</v>
      </c>
      <c r="M158" s="161"/>
      <c r="N158" s="81"/>
      <c r="O158" s="81"/>
      <c r="P158" s="81"/>
      <c r="Q158" s="81"/>
      <c r="R158" s="81"/>
      <c r="S158" s="81"/>
      <c r="T158" s="81"/>
      <c r="U158" s="81"/>
    </row>
    <row r="159" spans="1:21"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3"/>
      <c r="O159" s="73"/>
      <c r="P159" s="73"/>
      <c r="Q159" s="73"/>
      <c r="R159" s="73"/>
      <c r="S159" s="73"/>
      <c r="T159" s="73"/>
      <c r="U159" s="73"/>
    </row>
    <row r="160" spans="1:21" ht="17.45" thickBot="1"/>
    <row r="161" spans="1:29">
      <c r="A161" s="118"/>
      <c r="B161" s="169">
        <v>46099</v>
      </c>
      <c r="C161" s="170"/>
      <c r="D161" s="169">
        <v>46100</v>
      </c>
      <c r="E161" s="170"/>
      <c r="F161" s="169">
        <v>46101</v>
      </c>
      <c r="G161" s="170"/>
      <c r="H161" s="169">
        <v>46102</v>
      </c>
      <c r="I161" s="170"/>
      <c r="J161" s="169">
        <v>46103</v>
      </c>
      <c r="K161" s="170"/>
      <c r="L161" s="169">
        <v>46107</v>
      </c>
      <c r="M161" s="170"/>
      <c r="N161" s="169">
        <v>46108</v>
      </c>
      <c r="O161" s="170"/>
      <c r="P161" s="169">
        <v>46109</v>
      </c>
      <c r="Q161" s="170"/>
      <c r="R161" s="169">
        <v>46110</v>
      </c>
      <c r="S161" s="170"/>
      <c r="T161" s="169">
        <v>46113</v>
      </c>
      <c r="U161" s="170"/>
      <c r="V161" s="169">
        <v>46114</v>
      </c>
      <c r="W161" s="170"/>
      <c r="X161" s="169">
        <v>46115</v>
      </c>
      <c r="Y161" s="170"/>
      <c r="Z161" s="169">
        <v>46116</v>
      </c>
      <c r="AA161" s="170"/>
      <c r="AB161" s="169">
        <v>46117</v>
      </c>
      <c r="AC161" s="170"/>
    </row>
    <row r="162" spans="1:29">
      <c r="A162" s="95"/>
      <c r="B162" s="167" t="s">
        <v>207</v>
      </c>
      <c r="C162" s="171"/>
      <c r="D162" s="167" t="s">
        <v>207</v>
      </c>
      <c r="E162" s="171"/>
      <c r="F162" s="167" t="s">
        <v>207</v>
      </c>
      <c r="G162" s="171"/>
      <c r="H162" s="167" t="s">
        <v>207</v>
      </c>
      <c r="I162" s="171"/>
      <c r="J162" s="167" t="s">
        <v>207</v>
      </c>
      <c r="K162" s="171"/>
      <c r="L162" s="167" t="s">
        <v>207</v>
      </c>
      <c r="M162" s="171"/>
      <c r="N162" s="167" t="s">
        <v>207</v>
      </c>
      <c r="O162" s="171"/>
      <c r="P162" s="167" t="s">
        <v>207</v>
      </c>
      <c r="Q162" s="171"/>
      <c r="R162" s="167" t="s">
        <v>207</v>
      </c>
      <c r="S162" s="171"/>
      <c r="T162" s="167" t="s">
        <v>207</v>
      </c>
      <c r="U162" s="171"/>
      <c r="V162" s="167" t="s">
        <v>207</v>
      </c>
      <c r="W162" s="171"/>
      <c r="X162" s="167" t="s">
        <v>207</v>
      </c>
      <c r="Y162" s="171"/>
      <c r="Z162" s="167" t="s">
        <v>207</v>
      </c>
      <c r="AA162" s="171"/>
      <c r="AB162" s="167" t="s">
        <v>207</v>
      </c>
      <c r="AC162" s="171"/>
    </row>
    <row r="163" spans="1:29">
      <c r="A163" s="145"/>
      <c r="B163" s="167" t="s">
        <v>168</v>
      </c>
      <c r="C163" s="171"/>
      <c r="D163" s="167" t="s">
        <v>168</v>
      </c>
      <c r="E163" s="171"/>
      <c r="F163" s="167" t="s">
        <v>168</v>
      </c>
      <c r="G163" s="171"/>
      <c r="H163" s="167" t="s">
        <v>168</v>
      </c>
      <c r="I163" s="171"/>
      <c r="J163" s="167" t="s">
        <v>168</v>
      </c>
      <c r="K163" s="171"/>
      <c r="L163" s="167" t="s">
        <v>194</v>
      </c>
      <c r="M163" s="171"/>
      <c r="N163" s="167" t="s">
        <v>194</v>
      </c>
      <c r="O163" s="171"/>
      <c r="P163" s="167" t="s">
        <v>194</v>
      </c>
      <c r="Q163" s="171"/>
      <c r="R163" s="167" t="s">
        <v>194</v>
      </c>
      <c r="S163" s="171"/>
      <c r="T163" s="167" t="s">
        <v>197</v>
      </c>
      <c r="U163" s="171"/>
      <c r="V163" s="167" t="s">
        <v>197</v>
      </c>
      <c r="W163" s="171"/>
      <c r="X163" s="167" t="s">
        <v>197</v>
      </c>
      <c r="Y163" s="171"/>
      <c r="Z163" s="167" t="s">
        <v>197</v>
      </c>
      <c r="AA163" s="171"/>
      <c r="AB163" s="167" t="s">
        <v>197</v>
      </c>
      <c r="AC163" s="171"/>
    </row>
    <row r="164" spans="1:29">
      <c r="A164" s="95"/>
      <c r="B164" s="167" t="s">
        <v>169</v>
      </c>
      <c r="C164" s="171"/>
      <c r="D164" s="167" t="s">
        <v>170</v>
      </c>
      <c r="E164" s="171"/>
      <c r="F164" s="167" t="s">
        <v>171</v>
      </c>
      <c r="G164" s="171"/>
      <c r="H164" s="167" t="s">
        <v>172</v>
      </c>
      <c r="I164" s="171"/>
      <c r="J164" s="167" t="s">
        <v>173</v>
      </c>
      <c r="K164" s="171"/>
      <c r="L164" s="167" t="s">
        <v>174</v>
      </c>
      <c r="M164" s="171"/>
      <c r="N164" s="167" t="s">
        <v>175</v>
      </c>
      <c r="O164" s="171"/>
      <c r="P164" s="167" t="s">
        <v>176</v>
      </c>
      <c r="Q164" s="171"/>
      <c r="R164" s="167" t="s">
        <v>177</v>
      </c>
      <c r="S164" s="171"/>
      <c r="T164" s="167" t="s">
        <v>178</v>
      </c>
      <c r="U164" s="171"/>
      <c r="V164" s="167" t="s">
        <v>208</v>
      </c>
      <c r="W164" s="171"/>
      <c r="X164" s="167" t="s">
        <v>209</v>
      </c>
      <c r="Y164" s="171"/>
      <c r="Z164" s="167" t="s">
        <v>210</v>
      </c>
      <c r="AA164" s="171"/>
      <c r="AB164" s="167" t="s">
        <v>211</v>
      </c>
      <c r="AC164" s="171"/>
    </row>
    <row r="165" spans="1:29">
      <c r="A165" s="95"/>
      <c r="B165" s="167" t="s">
        <v>179</v>
      </c>
      <c r="C165" s="171"/>
      <c r="D165" s="167" t="s">
        <v>212</v>
      </c>
      <c r="E165" s="171"/>
      <c r="F165" s="167" t="s">
        <v>213</v>
      </c>
      <c r="G165" s="171"/>
      <c r="H165" s="167" t="s">
        <v>214</v>
      </c>
      <c r="I165" s="171"/>
      <c r="J165" s="167" t="s">
        <v>215</v>
      </c>
      <c r="K165" s="171"/>
      <c r="L165" s="167" t="s">
        <v>212</v>
      </c>
      <c r="M165" s="171"/>
      <c r="N165" s="167" t="s">
        <v>213</v>
      </c>
      <c r="O165" s="171"/>
      <c r="P165" s="167" t="s">
        <v>214</v>
      </c>
      <c r="Q165" s="171"/>
      <c r="R165" s="167" t="s">
        <v>215</v>
      </c>
      <c r="S165" s="171"/>
      <c r="T165" s="167" t="s">
        <v>216</v>
      </c>
      <c r="U165" s="171"/>
      <c r="V165" s="167" t="s">
        <v>213</v>
      </c>
      <c r="W165" s="171"/>
      <c r="X165" s="167" t="s">
        <v>217</v>
      </c>
      <c r="Y165" s="171"/>
      <c r="Z165" s="167" t="s">
        <v>218</v>
      </c>
      <c r="AA165" s="171"/>
      <c r="AB165" s="167" t="s">
        <v>219</v>
      </c>
      <c r="AC165" s="171"/>
    </row>
    <row r="166" spans="1:29">
      <c r="A166" s="137" t="s">
        <v>182</v>
      </c>
      <c r="B166" s="74" t="s">
        <v>183</v>
      </c>
      <c r="C166" s="75" t="s">
        <v>184</v>
      </c>
      <c r="D166" s="74" t="s">
        <v>183</v>
      </c>
      <c r="E166" s="75" t="s">
        <v>184</v>
      </c>
      <c r="F166" s="74" t="s">
        <v>183</v>
      </c>
      <c r="G166" s="75" t="s">
        <v>184</v>
      </c>
      <c r="H166" s="74" t="s">
        <v>183</v>
      </c>
      <c r="I166" s="75" t="s">
        <v>184</v>
      </c>
      <c r="J166" s="74" t="s">
        <v>183</v>
      </c>
      <c r="K166" s="75" t="s">
        <v>184</v>
      </c>
      <c r="L166" s="74" t="s">
        <v>183</v>
      </c>
      <c r="M166" s="75" t="s">
        <v>184</v>
      </c>
      <c r="N166" s="74" t="s">
        <v>183</v>
      </c>
      <c r="O166" s="75" t="s">
        <v>184</v>
      </c>
      <c r="P166" s="74" t="s">
        <v>183</v>
      </c>
      <c r="Q166" s="75" t="s">
        <v>184</v>
      </c>
      <c r="R166" s="74" t="s">
        <v>183</v>
      </c>
      <c r="S166" s="75" t="s">
        <v>184</v>
      </c>
      <c r="T166" s="74" t="s">
        <v>183</v>
      </c>
      <c r="U166" s="75" t="s">
        <v>184</v>
      </c>
      <c r="V166" s="74" t="s">
        <v>183</v>
      </c>
      <c r="W166" s="75" t="s">
        <v>184</v>
      </c>
      <c r="X166" s="74" t="s">
        <v>183</v>
      </c>
      <c r="Y166" s="75" t="s">
        <v>184</v>
      </c>
      <c r="Z166" s="74" t="s">
        <v>183</v>
      </c>
      <c r="AA166" s="75" t="s">
        <v>184</v>
      </c>
      <c r="AB166" s="74" t="s">
        <v>183</v>
      </c>
      <c r="AC166" s="140" t="s">
        <v>184</v>
      </c>
    </row>
    <row r="167" spans="1:29">
      <c r="A167" s="138" t="s">
        <v>185</v>
      </c>
      <c r="B167" s="139">
        <v>60248</v>
      </c>
      <c r="C167" s="144">
        <v>22243</v>
      </c>
      <c r="D167" s="139">
        <v>71079</v>
      </c>
      <c r="E167" s="144">
        <v>43388</v>
      </c>
      <c r="F167" s="139">
        <v>106523</v>
      </c>
      <c r="G167" s="144">
        <v>61242</v>
      </c>
      <c r="H167" s="139">
        <v>113759</v>
      </c>
      <c r="I167" s="144">
        <v>71577</v>
      </c>
      <c r="J167" s="139">
        <v>127023</v>
      </c>
      <c r="K167" s="144">
        <v>78782</v>
      </c>
      <c r="L167" s="139">
        <v>84985</v>
      </c>
      <c r="M167" s="144">
        <v>60084</v>
      </c>
      <c r="N167" s="139">
        <v>56760</v>
      </c>
      <c r="O167" s="144">
        <v>34483</v>
      </c>
      <c r="P167" s="139">
        <v>112020</v>
      </c>
      <c r="Q167" s="144">
        <v>69367</v>
      </c>
      <c r="R167" s="139">
        <v>115802</v>
      </c>
      <c r="S167" s="144">
        <v>72428</v>
      </c>
      <c r="T167" s="139">
        <v>20393</v>
      </c>
      <c r="U167" s="144">
        <v>12949</v>
      </c>
      <c r="V167" s="139">
        <v>73373</v>
      </c>
      <c r="W167" s="144">
        <v>42993</v>
      </c>
      <c r="X167" s="139">
        <v>81660</v>
      </c>
      <c r="Y167" s="144">
        <v>50620</v>
      </c>
      <c r="Z167" s="139">
        <v>88618</v>
      </c>
      <c r="AA167" s="144">
        <v>55752</v>
      </c>
      <c r="AB167" s="139">
        <v>153810</v>
      </c>
      <c r="AC167" s="141">
        <v>95254</v>
      </c>
    </row>
    <row r="168" spans="1:29">
      <c r="A168" s="138" t="s">
        <v>186</v>
      </c>
      <c r="B168" s="139">
        <v>20759</v>
      </c>
      <c r="C168" s="144">
        <v>8647</v>
      </c>
      <c r="D168" s="139">
        <v>25160</v>
      </c>
      <c r="E168" s="144">
        <v>15961</v>
      </c>
      <c r="F168" s="139">
        <v>16668</v>
      </c>
      <c r="G168" s="144">
        <v>10728</v>
      </c>
      <c r="H168" s="139">
        <v>24507</v>
      </c>
      <c r="I168" s="144">
        <v>15866</v>
      </c>
      <c r="J168" s="139">
        <v>37442</v>
      </c>
      <c r="K168" s="144">
        <v>21083</v>
      </c>
      <c r="L168" s="139">
        <v>36073</v>
      </c>
      <c r="M168" s="144">
        <v>24764</v>
      </c>
      <c r="N168" s="139">
        <v>21780</v>
      </c>
      <c r="O168" s="144">
        <v>14218</v>
      </c>
      <c r="P168" s="139">
        <v>28479</v>
      </c>
      <c r="Q168" s="144">
        <v>19137</v>
      </c>
      <c r="R168" s="139">
        <v>69549</v>
      </c>
      <c r="S168" s="144">
        <v>43014</v>
      </c>
      <c r="T168" s="139">
        <v>3847</v>
      </c>
      <c r="U168" s="144">
        <v>2419</v>
      </c>
      <c r="V168" s="139">
        <v>28028</v>
      </c>
      <c r="W168" s="144">
        <v>17780</v>
      </c>
      <c r="X168" s="139">
        <v>28625</v>
      </c>
      <c r="Y168" s="144">
        <v>19093</v>
      </c>
      <c r="Z168" s="139">
        <v>38399</v>
      </c>
      <c r="AA168" s="144">
        <v>23830</v>
      </c>
      <c r="AB168" s="139">
        <v>70700</v>
      </c>
      <c r="AC168" s="141">
        <v>44127</v>
      </c>
    </row>
    <row r="169" spans="1:29">
      <c r="A169" s="138" t="s">
        <v>187</v>
      </c>
      <c r="B169" s="139">
        <v>8940</v>
      </c>
      <c r="C169" s="144">
        <v>4333</v>
      </c>
      <c r="D169" s="139">
        <v>9575</v>
      </c>
      <c r="E169" s="144">
        <v>7198</v>
      </c>
      <c r="F169" s="139">
        <v>10274</v>
      </c>
      <c r="G169" s="144">
        <v>7469</v>
      </c>
      <c r="H169" s="139">
        <v>8517</v>
      </c>
      <c r="I169" s="144">
        <v>6444</v>
      </c>
      <c r="J169" s="139">
        <v>9038</v>
      </c>
      <c r="K169" s="144">
        <v>7106</v>
      </c>
      <c r="L169" s="139">
        <v>14003</v>
      </c>
      <c r="M169" s="144">
        <v>9413</v>
      </c>
      <c r="N169" s="139">
        <v>11282</v>
      </c>
      <c r="O169" s="144">
        <v>8081</v>
      </c>
      <c r="P169" s="139">
        <v>13001</v>
      </c>
      <c r="Q169" s="144">
        <v>9682</v>
      </c>
      <c r="R169" s="139">
        <v>16131</v>
      </c>
      <c r="S169" s="144">
        <v>11361</v>
      </c>
      <c r="T169" s="139">
        <v>2553</v>
      </c>
      <c r="U169" s="144">
        <v>1704</v>
      </c>
      <c r="V169" s="139">
        <v>13116</v>
      </c>
      <c r="W169" s="144">
        <v>9098</v>
      </c>
      <c r="X169" s="139">
        <v>16120</v>
      </c>
      <c r="Y169" s="144">
        <v>11135</v>
      </c>
      <c r="Z169" s="139">
        <v>14771</v>
      </c>
      <c r="AA169" s="144">
        <v>10477</v>
      </c>
      <c r="AB169" s="139">
        <v>17476</v>
      </c>
      <c r="AC169" s="141">
        <v>12698</v>
      </c>
    </row>
    <row r="170" spans="1:29">
      <c r="A170" s="138" t="s">
        <v>188</v>
      </c>
      <c r="B170" s="139">
        <v>7582</v>
      </c>
      <c r="C170" s="144">
        <v>4434</v>
      </c>
      <c r="D170" s="139">
        <v>9228</v>
      </c>
      <c r="E170" s="144">
        <v>7233</v>
      </c>
      <c r="F170" s="139">
        <v>11017</v>
      </c>
      <c r="G170" s="144">
        <v>8626</v>
      </c>
      <c r="H170" s="139">
        <v>14034</v>
      </c>
      <c r="I170" s="144">
        <v>10592</v>
      </c>
      <c r="J170" s="139">
        <v>11794</v>
      </c>
      <c r="K170" s="144">
        <v>9198</v>
      </c>
      <c r="L170" s="139">
        <v>10736</v>
      </c>
      <c r="M170" s="144">
        <v>7825</v>
      </c>
      <c r="N170" s="139">
        <v>11016</v>
      </c>
      <c r="O170" s="144">
        <v>7826</v>
      </c>
      <c r="P170" s="139">
        <v>14543</v>
      </c>
      <c r="Q170" s="144">
        <v>10963</v>
      </c>
      <c r="R170" s="139">
        <v>15124</v>
      </c>
      <c r="S170" s="144">
        <v>10700</v>
      </c>
      <c r="T170" s="139">
        <v>3178</v>
      </c>
      <c r="U170" s="144">
        <v>2050</v>
      </c>
      <c r="V170" s="139">
        <v>13101</v>
      </c>
      <c r="W170" s="144">
        <v>9236</v>
      </c>
      <c r="X170" s="139">
        <v>14862</v>
      </c>
      <c r="Y170" s="144">
        <v>10254</v>
      </c>
      <c r="Z170" s="139">
        <v>16175</v>
      </c>
      <c r="AA170" s="144">
        <v>11158</v>
      </c>
      <c r="AB170" s="139">
        <v>17792</v>
      </c>
      <c r="AC170" s="141">
        <v>12505</v>
      </c>
    </row>
    <row r="171" spans="1:29">
      <c r="A171" s="138" t="s">
        <v>189</v>
      </c>
      <c r="B171" s="139">
        <v>6209</v>
      </c>
      <c r="C171" s="144">
        <v>4046</v>
      </c>
      <c r="D171" s="139">
        <v>7191</v>
      </c>
      <c r="E171" s="144">
        <v>5540</v>
      </c>
      <c r="F171" s="139">
        <v>7444</v>
      </c>
      <c r="G171" s="144">
        <v>5763</v>
      </c>
      <c r="H171" s="139">
        <v>7246</v>
      </c>
      <c r="I171" s="144">
        <v>6251</v>
      </c>
      <c r="J171" s="139">
        <v>8052</v>
      </c>
      <c r="K171" s="144">
        <v>6523</v>
      </c>
      <c r="L171" s="139">
        <v>8490</v>
      </c>
      <c r="M171" s="144">
        <v>6147</v>
      </c>
      <c r="N171" s="139">
        <v>9265</v>
      </c>
      <c r="O171" s="144">
        <v>5970</v>
      </c>
      <c r="P171" s="139">
        <v>10009</v>
      </c>
      <c r="Q171" s="144">
        <v>7373</v>
      </c>
      <c r="R171" s="139">
        <v>10413</v>
      </c>
      <c r="S171" s="144">
        <v>7448</v>
      </c>
      <c r="T171" s="139">
        <v>2410</v>
      </c>
      <c r="U171" s="144">
        <v>1648</v>
      </c>
      <c r="V171" s="139">
        <v>8835</v>
      </c>
      <c r="W171" s="144">
        <v>6140</v>
      </c>
      <c r="X171" s="139">
        <v>10120</v>
      </c>
      <c r="Y171" s="144">
        <v>7082</v>
      </c>
      <c r="Z171" s="139">
        <v>11060</v>
      </c>
      <c r="AA171" s="144">
        <v>7735</v>
      </c>
      <c r="AB171" s="139">
        <v>13893</v>
      </c>
      <c r="AC171" s="141">
        <v>9777</v>
      </c>
    </row>
    <row r="172" spans="1:29">
      <c r="A172" s="138" t="s">
        <v>190</v>
      </c>
      <c r="B172" s="139">
        <v>1334</v>
      </c>
      <c r="C172" s="144">
        <v>720</v>
      </c>
      <c r="D172" s="139">
        <v>1452</v>
      </c>
      <c r="E172" s="144">
        <v>970</v>
      </c>
      <c r="F172" s="139">
        <v>2423</v>
      </c>
      <c r="G172" s="144">
        <v>1394</v>
      </c>
      <c r="H172" s="139">
        <v>2873</v>
      </c>
      <c r="I172" s="144">
        <v>1899</v>
      </c>
      <c r="J172" s="139">
        <v>3477</v>
      </c>
      <c r="K172" s="144">
        <v>2019</v>
      </c>
      <c r="L172" s="139">
        <v>2042</v>
      </c>
      <c r="M172" s="144">
        <v>1296</v>
      </c>
      <c r="N172" s="139">
        <v>2237</v>
      </c>
      <c r="O172" s="144">
        <v>1307</v>
      </c>
      <c r="P172" s="139">
        <v>2987</v>
      </c>
      <c r="Q172" s="144">
        <v>1799</v>
      </c>
      <c r="R172" s="139">
        <v>3564</v>
      </c>
      <c r="S172" s="144">
        <v>2013</v>
      </c>
      <c r="T172" s="139">
        <v>414</v>
      </c>
      <c r="U172" s="144">
        <v>259</v>
      </c>
      <c r="V172" s="139">
        <v>2499</v>
      </c>
      <c r="W172" s="144">
        <v>1389</v>
      </c>
      <c r="X172" s="139">
        <v>3000</v>
      </c>
      <c r="Y172" s="144">
        <v>1651</v>
      </c>
      <c r="Z172" s="139">
        <v>2977</v>
      </c>
      <c r="AA172" s="144">
        <v>1771</v>
      </c>
      <c r="AB172" s="139">
        <v>4587</v>
      </c>
      <c r="AC172" s="141">
        <v>2741</v>
      </c>
    </row>
    <row r="173" spans="1:29" ht="17.45" thickBot="1">
      <c r="A173" s="96" t="s">
        <v>191</v>
      </c>
      <c r="B173" s="142">
        <v>102701</v>
      </c>
      <c r="C173" s="143">
        <v>47607</v>
      </c>
      <c r="D173" s="142">
        <v>118571</v>
      </c>
      <c r="E173" s="143">
        <v>82628</v>
      </c>
      <c r="F173" s="142">
        <v>160775</v>
      </c>
      <c r="G173" s="143">
        <v>101188</v>
      </c>
      <c r="H173" s="142">
        <v>192133</v>
      </c>
      <c r="I173" s="143">
        <v>135302</v>
      </c>
      <c r="J173" s="142">
        <v>188387</v>
      </c>
      <c r="K173" s="143">
        <v>129812</v>
      </c>
      <c r="L173" s="142">
        <v>161367</v>
      </c>
      <c r="M173" s="143">
        <v>111194</v>
      </c>
      <c r="N173" s="142">
        <v>119097</v>
      </c>
      <c r="O173" s="143">
        <v>74296</v>
      </c>
      <c r="P173" s="142">
        <v>187818</v>
      </c>
      <c r="Q173" s="143">
        <v>130842</v>
      </c>
      <c r="R173" s="142">
        <v>269388</v>
      </c>
      <c r="S173" s="143">
        <v>164031</v>
      </c>
      <c r="T173" s="142">
        <v>34117</v>
      </c>
      <c r="U173" s="143">
        <v>21776</v>
      </c>
      <c r="V173" s="142">
        <v>159352</v>
      </c>
      <c r="W173" s="143">
        <v>95431</v>
      </c>
      <c r="X173" s="142">
        <v>173423</v>
      </c>
      <c r="Y173" s="143">
        <v>115658</v>
      </c>
      <c r="Z173" s="142">
        <v>204152</v>
      </c>
      <c r="AA173" s="143">
        <v>133352</v>
      </c>
      <c r="AB173" s="142">
        <v>332886</v>
      </c>
      <c r="AC173" s="143">
        <v>214622</v>
      </c>
    </row>
    <row r="174" spans="1:29">
      <c r="A174" s="98" t="s">
        <v>198</v>
      </c>
      <c r="B174" s="146"/>
      <c r="C174" s="147"/>
      <c r="D174" s="146"/>
      <c r="E174" s="147"/>
      <c r="F174" s="146"/>
      <c r="G174" s="147"/>
      <c r="H174" s="146"/>
      <c r="I174" s="147"/>
      <c r="J174" s="146"/>
      <c r="K174" s="147"/>
      <c r="L174" s="146"/>
      <c r="M174" s="147"/>
      <c r="N174" s="146"/>
      <c r="O174" s="147"/>
      <c r="P174" s="146"/>
      <c r="Q174" s="147"/>
      <c r="R174" s="146"/>
      <c r="S174" s="147"/>
      <c r="T174" s="148" t="s">
        <v>7</v>
      </c>
      <c r="U174" s="149"/>
      <c r="V174" s="146"/>
      <c r="W174" s="147"/>
      <c r="X174" s="146"/>
      <c r="Y174" s="147"/>
      <c r="Z174" s="146"/>
      <c r="AA174" s="147"/>
      <c r="AB174" s="146"/>
      <c r="AC174" s="147"/>
    </row>
    <row r="175" spans="1:29" ht="17.45" thickBot="1">
      <c r="A175" s="99" t="s">
        <v>193</v>
      </c>
      <c r="B175" s="174">
        <v>6743479</v>
      </c>
      <c r="C175" s="175"/>
      <c r="D175" s="174">
        <v>5900438</v>
      </c>
      <c r="E175" s="175"/>
      <c r="F175" s="174">
        <v>5310221</v>
      </c>
      <c r="G175" s="175"/>
      <c r="H175" s="174">
        <v>6018851</v>
      </c>
      <c r="I175" s="175"/>
      <c r="J175" s="174">
        <v>7513359</v>
      </c>
      <c r="K175" s="175"/>
      <c r="L175" s="174">
        <v>7206969.352</v>
      </c>
      <c r="M175" s="175"/>
      <c r="N175" s="174">
        <v>5781388.6660000002</v>
      </c>
      <c r="O175" s="175"/>
      <c r="P175" s="174">
        <v>6095279.8490000004</v>
      </c>
      <c r="Q175" s="175"/>
      <c r="R175" s="174">
        <v>6936910.8370000003</v>
      </c>
      <c r="S175" s="175"/>
      <c r="T175" s="172" t="s">
        <v>7</v>
      </c>
      <c r="U175" s="173"/>
      <c r="V175" s="174">
        <v>5399383.2356666662</v>
      </c>
      <c r="W175" s="175"/>
      <c r="X175" s="174">
        <v>5686089.586666666</v>
      </c>
      <c r="Y175" s="175"/>
      <c r="Z175" s="174">
        <v>6437290.7356666662</v>
      </c>
      <c r="AA175" s="175"/>
      <c r="AB175" s="174">
        <v>6753663.3709999993</v>
      </c>
      <c r="AC175" s="175"/>
    </row>
    <row r="177" spans="1:1">
      <c r="A177" s="89" t="s">
        <v>220</v>
      </c>
    </row>
  </sheetData>
  <mergeCells count="506">
    <mergeCell ref="T175:U175"/>
    <mergeCell ref="V175:W175"/>
    <mergeCell ref="X175:Y175"/>
    <mergeCell ref="Z175:AA175"/>
    <mergeCell ref="AB175:AC175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65:U165"/>
    <mergeCell ref="V165:W165"/>
    <mergeCell ref="X165:Y165"/>
    <mergeCell ref="Z165:AA165"/>
    <mergeCell ref="AB165:AC165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L164:M164"/>
    <mergeCell ref="N164:O164"/>
    <mergeCell ref="P164:Q164"/>
    <mergeCell ref="R162:S162"/>
    <mergeCell ref="T162:U162"/>
    <mergeCell ref="V162:W162"/>
    <mergeCell ref="X162:Y162"/>
    <mergeCell ref="T164:U164"/>
    <mergeCell ref="V164:W164"/>
    <mergeCell ref="X164:Y164"/>
    <mergeCell ref="Z164:AA164"/>
    <mergeCell ref="AB164:AC164"/>
    <mergeCell ref="T163:U163"/>
    <mergeCell ref="V163:W163"/>
    <mergeCell ref="X163:Y163"/>
    <mergeCell ref="Z163:AA163"/>
    <mergeCell ref="AB163:AC163"/>
    <mergeCell ref="R164:S164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1:U161"/>
    <mergeCell ref="V161:W161"/>
    <mergeCell ref="X161:Y161"/>
    <mergeCell ref="Z161:AA161"/>
    <mergeCell ref="AB161:AC161"/>
    <mergeCell ref="B162:C162"/>
    <mergeCell ref="D162:E162"/>
    <mergeCell ref="F162:G162"/>
    <mergeCell ref="H162:I162"/>
    <mergeCell ref="J162:K162"/>
    <mergeCell ref="L162:M162"/>
    <mergeCell ref="N162:O162"/>
    <mergeCell ref="B161:C161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Z162:AA162"/>
    <mergeCell ref="AB162:AC162"/>
    <mergeCell ref="P162:Q162"/>
    <mergeCell ref="T17:U17"/>
    <mergeCell ref="T18:U18"/>
    <mergeCell ref="T19:U19"/>
    <mergeCell ref="T20:U20"/>
    <mergeCell ref="T29:U29"/>
    <mergeCell ref="T30:U30"/>
    <mergeCell ref="T1:U1"/>
    <mergeCell ref="T2:U2"/>
    <mergeCell ref="T3:U3"/>
    <mergeCell ref="T4:U4"/>
    <mergeCell ref="T13:U13"/>
    <mergeCell ref="T14:U14"/>
    <mergeCell ref="R17:S17"/>
    <mergeCell ref="R18:S18"/>
    <mergeCell ref="R19:S19"/>
    <mergeCell ref="R20:S20"/>
    <mergeCell ref="R29:S29"/>
    <mergeCell ref="R30:S30"/>
    <mergeCell ref="R1:S1"/>
    <mergeCell ref="R2:S2"/>
    <mergeCell ref="R3:S3"/>
    <mergeCell ref="R4:S4"/>
    <mergeCell ref="R13:S13"/>
    <mergeCell ref="R14:S14"/>
    <mergeCell ref="B147:C147"/>
    <mergeCell ref="D147:E147"/>
    <mergeCell ref="F147:G147"/>
    <mergeCell ref="H147:I147"/>
    <mergeCell ref="J147:K147"/>
    <mergeCell ref="L147:M147"/>
    <mergeCell ref="B131:C131"/>
    <mergeCell ref="D131:E131"/>
    <mergeCell ref="F131:G131"/>
    <mergeCell ref="H131:I131"/>
    <mergeCell ref="J131:K131"/>
    <mergeCell ref="L131:M131"/>
    <mergeCell ref="J145:K145"/>
    <mergeCell ref="J146:K146"/>
    <mergeCell ref="B145:C145"/>
    <mergeCell ref="B146:C146"/>
    <mergeCell ref="B115:C115"/>
    <mergeCell ref="D115:E115"/>
    <mergeCell ref="F115:G115"/>
    <mergeCell ref="H115:I115"/>
    <mergeCell ref="J115:K115"/>
    <mergeCell ref="L115:M115"/>
    <mergeCell ref="B99:C99"/>
    <mergeCell ref="D99:E99"/>
    <mergeCell ref="F99:G99"/>
    <mergeCell ref="H99:I99"/>
    <mergeCell ref="J99:K99"/>
    <mergeCell ref="L99:M99"/>
    <mergeCell ref="J113:K113"/>
    <mergeCell ref="J114:K114"/>
    <mergeCell ref="B113:C113"/>
    <mergeCell ref="B114:C114"/>
    <mergeCell ref="B83:C83"/>
    <mergeCell ref="D83:E83"/>
    <mergeCell ref="F83:G83"/>
    <mergeCell ref="H83:I83"/>
    <mergeCell ref="J83:K83"/>
    <mergeCell ref="L83:M83"/>
    <mergeCell ref="B67:C67"/>
    <mergeCell ref="D67:E67"/>
    <mergeCell ref="F67:G67"/>
    <mergeCell ref="H67:I67"/>
    <mergeCell ref="J67:K67"/>
    <mergeCell ref="L67:M67"/>
    <mergeCell ref="J81:K81"/>
    <mergeCell ref="J82:K82"/>
    <mergeCell ref="B81:C81"/>
    <mergeCell ref="B82:C82"/>
    <mergeCell ref="B51:C51"/>
    <mergeCell ref="D51:E51"/>
    <mergeCell ref="F51:G51"/>
    <mergeCell ref="H51:I51"/>
    <mergeCell ref="J51:K51"/>
    <mergeCell ref="L51:M51"/>
    <mergeCell ref="B35:C35"/>
    <mergeCell ref="D35:E35"/>
    <mergeCell ref="F35:G35"/>
    <mergeCell ref="H35:I35"/>
    <mergeCell ref="J35:K35"/>
    <mergeCell ref="L35:M35"/>
    <mergeCell ref="J49:K49"/>
    <mergeCell ref="J50:K50"/>
    <mergeCell ref="B49:C49"/>
    <mergeCell ref="B50:C50"/>
    <mergeCell ref="J157:K157"/>
    <mergeCell ref="J158:K158"/>
    <mergeCell ref="L145:M145"/>
    <mergeCell ref="L146:M146"/>
    <mergeCell ref="L148:M148"/>
    <mergeCell ref="L157:M157"/>
    <mergeCell ref="L158:M158"/>
    <mergeCell ref="F145:G145"/>
    <mergeCell ref="F146:G146"/>
    <mergeCell ref="F148:G148"/>
    <mergeCell ref="F157:G157"/>
    <mergeCell ref="F158:G158"/>
    <mergeCell ref="H145:I145"/>
    <mergeCell ref="H146:I146"/>
    <mergeCell ref="H148:I148"/>
    <mergeCell ref="H157:I157"/>
    <mergeCell ref="H158:I158"/>
    <mergeCell ref="B148:C148"/>
    <mergeCell ref="B157:C157"/>
    <mergeCell ref="B158:C158"/>
    <mergeCell ref="D145:E145"/>
    <mergeCell ref="D146:E146"/>
    <mergeCell ref="D148:E148"/>
    <mergeCell ref="D157:E157"/>
    <mergeCell ref="D158:E158"/>
    <mergeCell ref="J129:K129"/>
    <mergeCell ref="J130:K130"/>
    <mergeCell ref="J132:K132"/>
    <mergeCell ref="J141:K141"/>
    <mergeCell ref="J142:K142"/>
    <mergeCell ref="B129:C129"/>
    <mergeCell ref="B130:C130"/>
    <mergeCell ref="B132:C132"/>
    <mergeCell ref="B141:C141"/>
    <mergeCell ref="B142:C142"/>
    <mergeCell ref="D129:E129"/>
    <mergeCell ref="D130:E130"/>
    <mergeCell ref="D132:E132"/>
    <mergeCell ref="D141:E141"/>
    <mergeCell ref="D142:E142"/>
    <mergeCell ref="J148:K148"/>
    <mergeCell ref="L129:M129"/>
    <mergeCell ref="L130:M130"/>
    <mergeCell ref="L132:M132"/>
    <mergeCell ref="L141:M141"/>
    <mergeCell ref="L142:M142"/>
    <mergeCell ref="F129:G129"/>
    <mergeCell ref="F130:G130"/>
    <mergeCell ref="F132:G132"/>
    <mergeCell ref="F141:G141"/>
    <mergeCell ref="F142:G142"/>
    <mergeCell ref="H129:I129"/>
    <mergeCell ref="H130:I130"/>
    <mergeCell ref="H132:I132"/>
    <mergeCell ref="H141:I141"/>
    <mergeCell ref="H142:I142"/>
    <mergeCell ref="J125:K125"/>
    <mergeCell ref="J126:K126"/>
    <mergeCell ref="L113:M113"/>
    <mergeCell ref="L114:M114"/>
    <mergeCell ref="L116:M116"/>
    <mergeCell ref="L125:M125"/>
    <mergeCell ref="L126:M126"/>
    <mergeCell ref="F113:G113"/>
    <mergeCell ref="F114:G114"/>
    <mergeCell ref="F116:G116"/>
    <mergeCell ref="F125:G125"/>
    <mergeCell ref="F126:G126"/>
    <mergeCell ref="H113:I113"/>
    <mergeCell ref="H114:I114"/>
    <mergeCell ref="H116:I116"/>
    <mergeCell ref="H125:I125"/>
    <mergeCell ref="H126:I126"/>
    <mergeCell ref="B116:C116"/>
    <mergeCell ref="B125:C125"/>
    <mergeCell ref="B126:C126"/>
    <mergeCell ref="D113:E113"/>
    <mergeCell ref="D114:E114"/>
    <mergeCell ref="D116:E116"/>
    <mergeCell ref="D125:E125"/>
    <mergeCell ref="D126:E126"/>
    <mergeCell ref="J97:K97"/>
    <mergeCell ref="J98:K98"/>
    <mergeCell ref="J100:K100"/>
    <mergeCell ref="J109:K109"/>
    <mergeCell ref="J110:K110"/>
    <mergeCell ref="B97:C97"/>
    <mergeCell ref="B98:C98"/>
    <mergeCell ref="B100:C100"/>
    <mergeCell ref="B109:C109"/>
    <mergeCell ref="B110:C110"/>
    <mergeCell ref="D97:E97"/>
    <mergeCell ref="D98:E98"/>
    <mergeCell ref="D100:E100"/>
    <mergeCell ref="D109:E109"/>
    <mergeCell ref="D110:E110"/>
    <mergeCell ref="J116:K116"/>
    <mergeCell ref="L97:M97"/>
    <mergeCell ref="L98:M98"/>
    <mergeCell ref="L100:M100"/>
    <mergeCell ref="L109:M109"/>
    <mergeCell ref="L110:M110"/>
    <mergeCell ref="F97:G97"/>
    <mergeCell ref="F98:G98"/>
    <mergeCell ref="F100:G100"/>
    <mergeCell ref="F109:G109"/>
    <mergeCell ref="F110:G110"/>
    <mergeCell ref="H97:I97"/>
    <mergeCell ref="H98:I98"/>
    <mergeCell ref="H100:I100"/>
    <mergeCell ref="H109:I109"/>
    <mergeCell ref="H110:I110"/>
    <mergeCell ref="J93:K93"/>
    <mergeCell ref="J94:K94"/>
    <mergeCell ref="L81:M81"/>
    <mergeCell ref="L82:M82"/>
    <mergeCell ref="L84:M84"/>
    <mergeCell ref="L93:M93"/>
    <mergeCell ref="L94:M94"/>
    <mergeCell ref="F81:G81"/>
    <mergeCell ref="F82:G82"/>
    <mergeCell ref="F84:G84"/>
    <mergeCell ref="F93:G93"/>
    <mergeCell ref="F94:G94"/>
    <mergeCell ref="H81:I81"/>
    <mergeCell ref="H82:I82"/>
    <mergeCell ref="H84:I84"/>
    <mergeCell ref="H93:I93"/>
    <mergeCell ref="H94:I94"/>
    <mergeCell ref="B84:C84"/>
    <mergeCell ref="B93:C93"/>
    <mergeCell ref="B94:C94"/>
    <mergeCell ref="D81:E81"/>
    <mergeCell ref="D82:E82"/>
    <mergeCell ref="D84:E84"/>
    <mergeCell ref="D93:E93"/>
    <mergeCell ref="D94:E94"/>
    <mergeCell ref="J65:K65"/>
    <mergeCell ref="J66:K66"/>
    <mergeCell ref="J68:K68"/>
    <mergeCell ref="J77:K77"/>
    <mergeCell ref="J78:K78"/>
    <mergeCell ref="B65:C65"/>
    <mergeCell ref="B66:C66"/>
    <mergeCell ref="B68:C68"/>
    <mergeCell ref="B77:C77"/>
    <mergeCell ref="B78:C78"/>
    <mergeCell ref="D65:E65"/>
    <mergeCell ref="D66:E66"/>
    <mergeCell ref="D68:E68"/>
    <mergeCell ref="D77:E77"/>
    <mergeCell ref="D78:E78"/>
    <mergeCell ref="J84:K84"/>
    <mergeCell ref="L65:M65"/>
    <mergeCell ref="L66:M66"/>
    <mergeCell ref="L68:M68"/>
    <mergeCell ref="L77:M77"/>
    <mergeCell ref="L78:M78"/>
    <mergeCell ref="F65:G65"/>
    <mergeCell ref="F66:G66"/>
    <mergeCell ref="F68:G68"/>
    <mergeCell ref="F77:G77"/>
    <mergeCell ref="F78:G78"/>
    <mergeCell ref="H65:I65"/>
    <mergeCell ref="H66:I66"/>
    <mergeCell ref="H68:I68"/>
    <mergeCell ref="H77:I77"/>
    <mergeCell ref="H78:I78"/>
    <mergeCell ref="J61:K61"/>
    <mergeCell ref="J62:K62"/>
    <mergeCell ref="L49:M49"/>
    <mergeCell ref="L50:M50"/>
    <mergeCell ref="L52:M52"/>
    <mergeCell ref="L61:M61"/>
    <mergeCell ref="L62:M62"/>
    <mergeCell ref="F49:G49"/>
    <mergeCell ref="F50:G50"/>
    <mergeCell ref="F52:G52"/>
    <mergeCell ref="F61:G61"/>
    <mergeCell ref="F62:G62"/>
    <mergeCell ref="H49:I49"/>
    <mergeCell ref="H50:I50"/>
    <mergeCell ref="H52:I52"/>
    <mergeCell ref="H61:I61"/>
    <mergeCell ref="H62:I62"/>
    <mergeCell ref="B52:C52"/>
    <mergeCell ref="B61:C61"/>
    <mergeCell ref="B62:C62"/>
    <mergeCell ref="D49:E49"/>
    <mergeCell ref="D50:E50"/>
    <mergeCell ref="D52:E52"/>
    <mergeCell ref="D61:E61"/>
    <mergeCell ref="D62:E62"/>
    <mergeCell ref="J33:K33"/>
    <mergeCell ref="J34:K34"/>
    <mergeCell ref="J36:K36"/>
    <mergeCell ref="J45:K45"/>
    <mergeCell ref="J46:K46"/>
    <mergeCell ref="B33:C33"/>
    <mergeCell ref="B34:C34"/>
    <mergeCell ref="B36:C36"/>
    <mergeCell ref="B45:C45"/>
    <mergeCell ref="B46:C46"/>
    <mergeCell ref="D33:E33"/>
    <mergeCell ref="D34:E34"/>
    <mergeCell ref="D36:E36"/>
    <mergeCell ref="D45:E45"/>
    <mergeCell ref="D46:E46"/>
    <mergeCell ref="J52:K52"/>
    <mergeCell ref="L33:M33"/>
    <mergeCell ref="L34:M34"/>
    <mergeCell ref="L36:M36"/>
    <mergeCell ref="L45:M45"/>
    <mergeCell ref="L46:M46"/>
    <mergeCell ref="F33:G33"/>
    <mergeCell ref="F34:G34"/>
    <mergeCell ref="F36:G36"/>
    <mergeCell ref="F45:G45"/>
    <mergeCell ref="F46:G46"/>
    <mergeCell ref="H33:I33"/>
    <mergeCell ref="H34:I34"/>
    <mergeCell ref="H36:I36"/>
    <mergeCell ref="H45:I45"/>
    <mergeCell ref="H46:I46"/>
    <mergeCell ref="N20:O20"/>
    <mergeCell ref="N29:O29"/>
    <mergeCell ref="N30:O30"/>
    <mergeCell ref="P17:Q17"/>
    <mergeCell ref="P18:Q18"/>
    <mergeCell ref="P20:Q20"/>
    <mergeCell ref="P29:Q29"/>
    <mergeCell ref="P30:Q30"/>
    <mergeCell ref="J17:K17"/>
    <mergeCell ref="J18:K18"/>
    <mergeCell ref="J20:K20"/>
    <mergeCell ref="J29:K29"/>
    <mergeCell ref="J30:K30"/>
    <mergeCell ref="L17:M17"/>
    <mergeCell ref="L18:M18"/>
    <mergeCell ref="L20:M20"/>
    <mergeCell ref="L29:M29"/>
    <mergeCell ref="L30:M30"/>
    <mergeCell ref="J19:K19"/>
    <mergeCell ref="L19:M19"/>
    <mergeCell ref="N19:O19"/>
    <mergeCell ref="P19:Q19"/>
    <mergeCell ref="N17:O17"/>
    <mergeCell ref="N18:O18"/>
    <mergeCell ref="F20:G20"/>
    <mergeCell ref="F29:G29"/>
    <mergeCell ref="F30:G30"/>
    <mergeCell ref="H17:I17"/>
    <mergeCell ref="H18:I18"/>
    <mergeCell ref="H20:I20"/>
    <mergeCell ref="H29:I29"/>
    <mergeCell ref="H30:I30"/>
    <mergeCell ref="B17:C17"/>
    <mergeCell ref="B18:C18"/>
    <mergeCell ref="B20:C20"/>
    <mergeCell ref="B29:C29"/>
    <mergeCell ref="B30:C30"/>
    <mergeCell ref="D17:E17"/>
    <mergeCell ref="D18:E18"/>
    <mergeCell ref="D20:E20"/>
    <mergeCell ref="D29:E29"/>
    <mergeCell ref="D30:E30"/>
    <mergeCell ref="B19:C19"/>
    <mergeCell ref="D19:E19"/>
    <mergeCell ref="F19:G19"/>
    <mergeCell ref="H19:I19"/>
    <mergeCell ref="F17:G17"/>
    <mergeCell ref="F18:G18"/>
    <mergeCell ref="N1:O1"/>
    <mergeCell ref="N2:O2"/>
    <mergeCell ref="N4:O4"/>
    <mergeCell ref="N13:O13"/>
    <mergeCell ref="N14:O14"/>
    <mergeCell ref="P1:Q1"/>
    <mergeCell ref="P2:Q2"/>
    <mergeCell ref="P4:Q4"/>
    <mergeCell ref="P13:Q13"/>
    <mergeCell ref="P14:Q14"/>
    <mergeCell ref="N3:O3"/>
    <mergeCell ref="P3:Q3"/>
    <mergeCell ref="J1:K1"/>
    <mergeCell ref="J2:K2"/>
    <mergeCell ref="J4:K4"/>
    <mergeCell ref="J13:K13"/>
    <mergeCell ref="J14:K14"/>
    <mergeCell ref="L1:M1"/>
    <mergeCell ref="L2:M2"/>
    <mergeCell ref="L4:M4"/>
    <mergeCell ref="L13:M13"/>
    <mergeCell ref="L14:M14"/>
    <mergeCell ref="J3:K3"/>
    <mergeCell ref="L3:M3"/>
    <mergeCell ref="F1:G1"/>
    <mergeCell ref="F2:G2"/>
    <mergeCell ref="F4:G4"/>
    <mergeCell ref="F13:G13"/>
    <mergeCell ref="F14:G14"/>
    <mergeCell ref="H1:I1"/>
    <mergeCell ref="H2:I2"/>
    <mergeCell ref="H4:I4"/>
    <mergeCell ref="H13:I13"/>
    <mergeCell ref="H14:I14"/>
    <mergeCell ref="F3:G3"/>
    <mergeCell ref="H3:I3"/>
    <mergeCell ref="B1:C1"/>
    <mergeCell ref="B2:C2"/>
    <mergeCell ref="B4:C4"/>
    <mergeCell ref="B13:C13"/>
    <mergeCell ref="B14:C14"/>
    <mergeCell ref="D1:E1"/>
    <mergeCell ref="D2:E2"/>
    <mergeCell ref="D4:E4"/>
    <mergeCell ref="D13:E13"/>
    <mergeCell ref="D14:E14"/>
    <mergeCell ref="B3:C3"/>
    <mergeCell ref="D3:E3"/>
    <mergeCell ref="V174:W174"/>
    <mergeCell ref="X174:Y174"/>
    <mergeCell ref="Z174:AA174"/>
    <mergeCell ref="AB174:AC174"/>
    <mergeCell ref="T174:U174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R174:S17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4373-506D-4208-8018-F4FB3B94F3AC}">
  <dimension ref="A1:M81"/>
  <sheetViews>
    <sheetView workbookViewId="0">
      <pane xSplit="1" topLeftCell="B1" activePane="topRight" state="frozen"/>
      <selection pane="topRight" activeCell="M29" sqref="M29"/>
    </sheetView>
  </sheetViews>
  <sheetFormatPr defaultRowHeight="17.100000000000001"/>
  <cols>
    <col min="1" max="1" width="18" customWidth="1"/>
    <col min="2" max="13" width="12.5" customWidth="1"/>
  </cols>
  <sheetData>
    <row r="1" spans="1:7">
      <c r="A1" s="70"/>
      <c r="B1" s="180">
        <v>43686</v>
      </c>
      <c r="C1" s="151"/>
      <c r="D1" s="180">
        <v>43687</v>
      </c>
      <c r="E1" s="151"/>
      <c r="F1" s="180">
        <v>43688</v>
      </c>
      <c r="G1" s="151"/>
    </row>
    <row r="2" spans="1:7">
      <c r="A2" s="69"/>
      <c r="B2" s="152" t="s">
        <v>221</v>
      </c>
      <c r="C2" s="153"/>
      <c r="D2" s="152" t="s">
        <v>221</v>
      </c>
      <c r="E2" s="153"/>
      <c r="F2" s="152" t="s">
        <v>221</v>
      </c>
      <c r="G2" s="153"/>
    </row>
    <row r="3" spans="1:7">
      <c r="A3" s="69"/>
      <c r="B3" s="152" t="s">
        <v>169</v>
      </c>
      <c r="C3" s="153"/>
      <c r="D3" s="152" t="s">
        <v>170</v>
      </c>
      <c r="E3" s="153"/>
      <c r="F3" s="152" t="s">
        <v>171</v>
      </c>
      <c r="G3" s="153"/>
    </row>
    <row r="4" spans="1:7">
      <c r="A4" s="69"/>
      <c r="B4" s="152"/>
      <c r="C4" s="153"/>
      <c r="D4" s="152"/>
      <c r="E4" s="153"/>
      <c r="F4" s="152"/>
      <c r="G4" s="153"/>
    </row>
    <row r="5" spans="1:7">
      <c r="A5" s="65" t="s">
        <v>182</v>
      </c>
      <c r="B5" s="68" t="s">
        <v>183</v>
      </c>
      <c r="C5" s="67" t="s">
        <v>184</v>
      </c>
      <c r="D5" s="68" t="s">
        <v>183</v>
      </c>
      <c r="E5" s="67" t="s">
        <v>184</v>
      </c>
      <c r="F5" s="68" t="s">
        <v>183</v>
      </c>
      <c r="G5" s="67" t="s">
        <v>184</v>
      </c>
    </row>
    <row r="6" spans="1:7">
      <c r="A6" s="66" t="s">
        <v>185</v>
      </c>
      <c r="B6" s="71">
        <v>113111</v>
      </c>
      <c r="C6" s="72">
        <v>72377</v>
      </c>
      <c r="D6" s="71">
        <v>139161</v>
      </c>
      <c r="E6" s="72">
        <v>81443</v>
      </c>
      <c r="F6" s="71">
        <v>185913</v>
      </c>
      <c r="G6" s="72">
        <v>113430</v>
      </c>
    </row>
    <row r="7" spans="1:7">
      <c r="A7" s="66" t="s">
        <v>186</v>
      </c>
      <c r="B7" s="71">
        <v>60208</v>
      </c>
      <c r="C7" s="72">
        <v>38116</v>
      </c>
      <c r="D7" s="71">
        <v>80301</v>
      </c>
      <c r="E7" s="72">
        <v>43691</v>
      </c>
      <c r="F7" s="71">
        <v>78925</v>
      </c>
      <c r="G7" s="72">
        <v>51224</v>
      </c>
    </row>
    <row r="8" spans="1:7">
      <c r="A8" s="66" t="s">
        <v>187</v>
      </c>
      <c r="B8" s="71">
        <v>19611</v>
      </c>
      <c r="C8" s="72">
        <v>11956</v>
      </c>
      <c r="D8" s="71">
        <v>17463</v>
      </c>
      <c r="E8" s="72">
        <v>11838</v>
      </c>
      <c r="F8" s="71">
        <v>33887</v>
      </c>
      <c r="G8" s="72">
        <v>22689</v>
      </c>
    </row>
    <row r="9" spans="1:7">
      <c r="A9" s="66" t="s">
        <v>188</v>
      </c>
      <c r="B9" s="71">
        <v>28584</v>
      </c>
      <c r="C9" s="72">
        <v>19995</v>
      </c>
      <c r="D9" s="71">
        <v>30929</v>
      </c>
      <c r="E9" s="72">
        <v>19645</v>
      </c>
      <c r="F9" s="71">
        <v>147318</v>
      </c>
      <c r="G9" s="72">
        <v>91765</v>
      </c>
    </row>
    <row r="10" spans="1:7">
      <c r="A10" s="66" t="s">
        <v>189</v>
      </c>
      <c r="B10" s="71">
        <v>6501</v>
      </c>
      <c r="C10" s="72">
        <v>4316</v>
      </c>
      <c r="D10" s="71">
        <v>7319</v>
      </c>
      <c r="E10" s="72">
        <v>4605</v>
      </c>
      <c r="F10" s="71">
        <v>13162</v>
      </c>
      <c r="G10" s="72">
        <v>7073</v>
      </c>
    </row>
    <row r="11" spans="1:7">
      <c r="A11" s="66" t="s">
        <v>190</v>
      </c>
      <c r="B11" s="71">
        <v>1796</v>
      </c>
      <c r="C11" s="72">
        <v>891</v>
      </c>
      <c r="D11" s="71">
        <v>2290</v>
      </c>
      <c r="E11" s="72">
        <v>901</v>
      </c>
      <c r="F11" s="71">
        <v>2685</v>
      </c>
      <c r="G11" s="72">
        <v>1245</v>
      </c>
    </row>
    <row r="12" spans="1:7" ht="17.45" thickBot="1">
      <c r="A12" s="82" t="s">
        <v>191</v>
      </c>
      <c r="B12" s="79">
        <v>251501</v>
      </c>
      <c r="C12" s="80">
        <v>173235</v>
      </c>
      <c r="D12" s="79">
        <v>282970</v>
      </c>
      <c r="E12" s="80">
        <v>187129</v>
      </c>
      <c r="F12" s="79">
        <v>492735</v>
      </c>
      <c r="G12" s="80">
        <v>316046</v>
      </c>
    </row>
    <row r="13" spans="1:7">
      <c r="A13" s="83" t="s">
        <v>198</v>
      </c>
      <c r="B13" s="162"/>
      <c r="C13" s="196"/>
      <c r="D13" s="159"/>
      <c r="E13" s="196"/>
      <c r="F13" s="159"/>
      <c r="G13" s="197"/>
    </row>
    <row r="14" spans="1:7" ht="17.45" thickBot="1">
      <c r="A14" s="84" t="s">
        <v>193</v>
      </c>
      <c r="B14" s="156"/>
      <c r="C14" s="194"/>
      <c r="D14" s="157"/>
      <c r="E14" s="194"/>
      <c r="F14" s="157"/>
      <c r="G14" s="195"/>
    </row>
    <row r="15" spans="1:7">
      <c r="B15" s="72"/>
      <c r="C15" s="72"/>
      <c r="D15" s="72"/>
      <c r="E15" s="72"/>
      <c r="F15" s="72"/>
      <c r="G15" s="72"/>
    </row>
    <row r="16" spans="1:7" ht="17.45" thickBot="1"/>
    <row r="17" spans="1:9">
      <c r="A17" s="70"/>
      <c r="B17" s="180">
        <v>44728</v>
      </c>
      <c r="C17" s="151"/>
      <c r="D17" s="180">
        <v>44729</v>
      </c>
      <c r="E17" s="151"/>
      <c r="F17" s="180">
        <v>44730</v>
      </c>
      <c r="G17" s="151"/>
      <c r="H17" s="180">
        <v>44731</v>
      </c>
      <c r="I17" s="151"/>
    </row>
    <row r="18" spans="1:9">
      <c r="A18" s="69"/>
      <c r="B18" s="152" t="s">
        <v>222</v>
      </c>
      <c r="C18" s="153"/>
      <c r="D18" s="152" t="s">
        <v>222</v>
      </c>
      <c r="E18" s="153"/>
      <c r="F18" s="152" t="s">
        <v>222</v>
      </c>
      <c r="G18" s="153"/>
      <c r="H18" s="152" t="s">
        <v>222</v>
      </c>
      <c r="I18" s="153"/>
    </row>
    <row r="19" spans="1:9">
      <c r="A19" s="69"/>
      <c r="B19" s="152" t="s">
        <v>169</v>
      </c>
      <c r="C19" s="153"/>
      <c r="D19" s="152" t="s">
        <v>170</v>
      </c>
      <c r="E19" s="153"/>
      <c r="F19" s="152" t="s">
        <v>171</v>
      </c>
      <c r="G19" s="153"/>
      <c r="H19" s="152" t="s">
        <v>172</v>
      </c>
      <c r="I19" s="153"/>
    </row>
    <row r="20" spans="1:9">
      <c r="A20" s="69"/>
      <c r="B20" s="152"/>
      <c r="C20" s="153"/>
      <c r="D20" s="152"/>
      <c r="E20" s="153"/>
      <c r="F20" s="152"/>
      <c r="G20" s="153"/>
      <c r="H20" s="152"/>
      <c r="I20" s="153"/>
    </row>
    <row r="21" spans="1:9">
      <c r="A21" s="65" t="s">
        <v>182</v>
      </c>
      <c r="B21" s="68" t="s">
        <v>183</v>
      </c>
      <c r="C21" s="67" t="s">
        <v>184</v>
      </c>
      <c r="D21" s="68" t="s">
        <v>183</v>
      </c>
      <c r="E21" s="67" t="s">
        <v>184</v>
      </c>
      <c r="F21" s="68" t="s">
        <v>183</v>
      </c>
      <c r="G21" s="67" t="s">
        <v>184</v>
      </c>
      <c r="H21" s="68" t="s">
        <v>183</v>
      </c>
      <c r="I21" s="67" t="s">
        <v>184</v>
      </c>
    </row>
    <row r="22" spans="1:9">
      <c r="A22" s="66" t="s">
        <v>185</v>
      </c>
      <c r="B22" s="71">
        <v>27286</v>
      </c>
      <c r="C22" s="72">
        <v>14461</v>
      </c>
      <c r="D22" s="71">
        <v>61735</v>
      </c>
      <c r="E22" s="72">
        <v>32426</v>
      </c>
      <c r="F22" s="71">
        <v>66367</v>
      </c>
      <c r="G22" s="72">
        <v>41357</v>
      </c>
      <c r="H22" s="71">
        <v>105972</v>
      </c>
      <c r="I22" s="72">
        <v>64487</v>
      </c>
    </row>
    <row r="23" spans="1:9">
      <c r="A23" s="66" t="s">
        <v>186</v>
      </c>
      <c r="B23" s="71">
        <v>68535</v>
      </c>
      <c r="C23" s="72">
        <v>42325</v>
      </c>
      <c r="D23" s="71">
        <v>60626</v>
      </c>
      <c r="E23" s="72">
        <v>37411</v>
      </c>
      <c r="F23" s="71">
        <v>74721</v>
      </c>
      <c r="G23" s="72">
        <v>39111</v>
      </c>
      <c r="H23" s="71">
        <v>89157</v>
      </c>
      <c r="I23" s="72">
        <v>56109</v>
      </c>
    </row>
    <row r="24" spans="1:9">
      <c r="A24" s="66" t="s">
        <v>187</v>
      </c>
      <c r="B24" s="71">
        <v>23107</v>
      </c>
      <c r="C24" s="72">
        <v>14962</v>
      </c>
      <c r="D24" s="71">
        <v>21227</v>
      </c>
      <c r="E24" s="72">
        <v>14206</v>
      </c>
      <c r="F24" s="71">
        <v>20982</v>
      </c>
      <c r="G24" s="72">
        <v>14754</v>
      </c>
      <c r="H24" s="71">
        <v>26857</v>
      </c>
      <c r="I24" s="72">
        <v>17476</v>
      </c>
    </row>
    <row r="25" spans="1:9">
      <c r="A25" s="66" t="s">
        <v>188</v>
      </c>
      <c r="B25" s="71">
        <v>31687</v>
      </c>
      <c r="C25" s="72">
        <v>23429</v>
      </c>
      <c r="D25" s="71">
        <v>27037</v>
      </c>
      <c r="E25" s="72">
        <v>20458</v>
      </c>
      <c r="F25" s="71">
        <v>36982</v>
      </c>
      <c r="G25" s="72">
        <v>24685</v>
      </c>
      <c r="H25" s="71">
        <v>39683</v>
      </c>
      <c r="I25" s="72">
        <v>29249</v>
      </c>
    </row>
    <row r="26" spans="1:9">
      <c r="A26" s="66" t="s">
        <v>189</v>
      </c>
      <c r="B26" s="71">
        <v>2428</v>
      </c>
      <c r="C26" s="72">
        <v>1711</v>
      </c>
      <c r="D26" s="71">
        <v>3631</v>
      </c>
      <c r="E26" s="72">
        <v>2463</v>
      </c>
      <c r="F26" s="71">
        <v>2376</v>
      </c>
      <c r="G26" s="72">
        <v>1658</v>
      </c>
      <c r="H26" s="71">
        <v>5109</v>
      </c>
      <c r="I26" s="72">
        <v>3482</v>
      </c>
    </row>
    <row r="27" spans="1:9">
      <c r="A27" s="66" t="s">
        <v>190</v>
      </c>
      <c r="B27" s="71">
        <v>10036</v>
      </c>
      <c r="C27" s="72">
        <v>5334</v>
      </c>
      <c r="D27" s="71">
        <v>12513</v>
      </c>
      <c r="E27" s="72">
        <v>6703</v>
      </c>
      <c r="F27" s="71">
        <v>13565</v>
      </c>
      <c r="G27" s="72">
        <v>7361</v>
      </c>
      <c r="H27" s="71">
        <v>21356</v>
      </c>
      <c r="I27" s="72">
        <v>9784</v>
      </c>
    </row>
    <row r="28" spans="1:9" ht="17.45" thickBot="1">
      <c r="A28" s="82" t="s">
        <v>191</v>
      </c>
      <c r="B28" s="79">
        <v>160538</v>
      </c>
      <c r="C28" s="80">
        <v>117895</v>
      </c>
      <c r="D28" s="79">
        <v>182584</v>
      </c>
      <c r="E28" s="80">
        <v>128758</v>
      </c>
      <c r="F28" s="79">
        <v>222569</v>
      </c>
      <c r="G28" s="80">
        <v>149543</v>
      </c>
      <c r="H28" s="79">
        <v>275943</v>
      </c>
      <c r="I28" s="80">
        <v>198560</v>
      </c>
    </row>
    <row r="29" spans="1:9" ht="33.950000000000003">
      <c r="A29" s="86" t="s">
        <v>223</v>
      </c>
      <c r="B29" s="162">
        <v>1267893</v>
      </c>
      <c r="C29" s="196"/>
      <c r="D29" s="159">
        <v>992584</v>
      </c>
      <c r="E29" s="196"/>
      <c r="F29" s="159">
        <v>1219572</v>
      </c>
      <c r="G29" s="196"/>
      <c r="H29" s="159">
        <v>1548072</v>
      </c>
      <c r="I29" s="197"/>
    </row>
    <row r="30" spans="1:9" ht="34.5" thickBot="1">
      <c r="A30" s="88" t="s">
        <v>224</v>
      </c>
      <c r="B30" s="185">
        <v>1753779</v>
      </c>
      <c r="C30" s="181"/>
      <c r="D30" s="181">
        <v>1431211</v>
      </c>
      <c r="E30" s="181"/>
      <c r="F30" s="181">
        <v>1548745</v>
      </c>
      <c r="G30" s="181"/>
      <c r="H30" s="181">
        <v>1798894</v>
      </c>
      <c r="I30" s="182"/>
    </row>
    <row r="31" spans="1:9" ht="17.45" thickBot="1">
      <c r="A31" s="87" t="s">
        <v>225</v>
      </c>
      <c r="B31" s="179"/>
      <c r="C31" s="177"/>
      <c r="D31" s="176"/>
      <c r="E31" s="177"/>
      <c r="F31" s="176"/>
      <c r="G31" s="177"/>
      <c r="H31" s="176"/>
      <c r="I31" s="178"/>
    </row>
    <row r="32" spans="1:9">
      <c r="B32" s="72"/>
      <c r="C32" s="72"/>
      <c r="D32" s="72"/>
      <c r="E32" s="72"/>
      <c r="F32" s="72"/>
      <c r="G32" s="72"/>
      <c r="H32" s="72"/>
      <c r="I32" s="72"/>
    </row>
    <row r="33" spans="1:7" ht="17.45" thickBot="1"/>
    <row r="34" spans="1:7">
      <c r="A34" s="70"/>
      <c r="B34" s="180">
        <v>45184</v>
      </c>
      <c r="C34" s="151"/>
      <c r="D34" s="180">
        <v>45185</v>
      </c>
      <c r="E34" s="151"/>
      <c r="F34" s="180">
        <v>45186</v>
      </c>
      <c r="G34" s="151"/>
    </row>
    <row r="35" spans="1:7">
      <c r="A35" s="69"/>
      <c r="B35" s="152" t="s">
        <v>226</v>
      </c>
      <c r="C35" s="153"/>
      <c r="D35" s="152" t="s">
        <v>226</v>
      </c>
      <c r="E35" s="153"/>
      <c r="F35" s="152" t="s">
        <v>226</v>
      </c>
      <c r="G35" s="153"/>
    </row>
    <row r="36" spans="1:7">
      <c r="A36" s="69"/>
      <c r="B36" s="152" t="s">
        <v>169</v>
      </c>
      <c r="C36" s="153"/>
      <c r="D36" s="152" t="s">
        <v>170</v>
      </c>
      <c r="E36" s="153"/>
      <c r="F36" s="152" t="s">
        <v>171</v>
      </c>
      <c r="G36" s="153"/>
    </row>
    <row r="37" spans="1:7">
      <c r="A37" s="69"/>
      <c r="B37" s="152"/>
      <c r="C37" s="153"/>
      <c r="D37" s="152"/>
      <c r="E37" s="153"/>
      <c r="F37" s="152"/>
      <c r="G37" s="153"/>
    </row>
    <row r="38" spans="1:7">
      <c r="A38" s="65" t="s">
        <v>182</v>
      </c>
      <c r="B38" s="68" t="s">
        <v>183</v>
      </c>
      <c r="C38" s="67" t="s">
        <v>184</v>
      </c>
      <c r="D38" s="68" t="s">
        <v>183</v>
      </c>
      <c r="E38" s="67" t="s">
        <v>184</v>
      </c>
      <c r="F38" s="68" t="s">
        <v>183</v>
      </c>
      <c r="G38" s="67" t="s">
        <v>184</v>
      </c>
    </row>
    <row r="39" spans="1:7">
      <c r="A39" s="66" t="s">
        <v>185</v>
      </c>
      <c r="B39" s="71">
        <v>49247</v>
      </c>
      <c r="C39" s="72">
        <v>26530</v>
      </c>
      <c r="D39" s="71">
        <v>77267</v>
      </c>
      <c r="E39" s="72">
        <v>40714</v>
      </c>
      <c r="F39" s="71">
        <v>98808</v>
      </c>
      <c r="G39" s="72">
        <v>59324</v>
      </c>
    </row>
    <row r="40" spans="1:7">
      <c r="A40" s="66" t="s">
        <v>186</v>
      </c>
      <c r="B40" s="71">
        <v>25947</v>
      </c>
      <c r="C40" s="72">
        <v>15688</v>
      </c>
      <c r="D40" s="71">
        <v>22838</v>
      </c>
      <c r="E40" s="72">
        <v>14237</v>
      </c>
      <c r="F40" s="71">
        <v>39107</v>
      </c>
      <c r="G40" s="72">
        <v>23963</v>
      </c>
    </row>
    <row r="41" spans="1:7">
      <c r="A41" s="66" t="s">
        <v>187</v>
      </c>
      <c r="B41" s="71">
        <v>19702</v>
      </c>
      <c r="C41" s="72">
        <v>14771</v>
      </c>
      <c r="D41" s="71">
        <v>21282</v>
      </c>
      <c r="E41" s="72">
        <v>14355</v>
      </c>
      <c r="F41" s="71">
        <v>33768</v>
      </c>
      <c r="G41" s="72">
        <v>23386</v>
      </c>
    </row>
    <row r="42" spans="1:7">
      <c r="A42" s="66" t="s">
        <v>188</v>
      </c>
      <c r="B42" s="71">
        <v>27852</v>
      </c>
      <c r="C42" s="72">
        <v>21678</v>
      </c>
      <c r="D42" s="71">
        <v>28456</v>
      </c>
      <c r="E42" s="72">
        <v>21013</v>
      </c>
      <c r="F42" s="71">
        <v>31344</v>
      </c>
      <c r="G42" s="72">
        <v>26141</v>
      </c>
    </row>
    <row r="43" spans="1:7">
      <c r="A43" s="66" t="s">
        <v>189</v>
      </c>
      <c r="B43" s="71">
        <v>9401</v>
      </c>
      <c r="C43" s="72">
        <v>7638</v>
      </c>
      <c r="D43" s="71">
        <v>9208</v>
      </c>
      <c r="E43" s="72">
        <v>6836</v>
      </c>
      <c r="F43" s="71">
        <v>12355</v>
      </c>
      <c r="G43" s="72">
        <v>9709</v>
      </c>
    </row>
    <row r="44" spans="1:7">
      <c r="A44" s="66" t="s">
        <v>190</v>
      </c>
      <c r="B44" s="71">
        <v>5971</v>
      </c>
      <c r="C44" s="72">
        <v>3515</v>
      </c>
      <c r="D44" s="71">
        <v>5994</v>
      </c>
      <c r="E44" s="72">
        <v>3501</v>
      </c>
      <c r="F44" s="71">
        <v>5824</v>
      </c>
      <c r="G44" s="72">
        <v>3644</v>
      </c>
    </row>
    <row r="45" spans="1:7" ht="17.45" thickBot="1">
      <c r="A45" s="82" t="s">
        <v>191</v>
      </c>
      <c r="B45" s="79">
        <v>146826</v>
      </c>
      <c r="C45" s="80">
        <v>101359</v>
      </c>
      <c r="D45" s="79">
        <v>169979</v>
      </c>
      <c r="E45" s="80">
        <v>112322</v>
      </c>
      <c r="F45" s="79">
        <v>230782</v>
      </c>
      <c r="G45" s="80">
        <v>159642</v>
      </c>
    </row>
    <row r="46" spans="1:7" ht="33.950000000000003">
      <c r="A46" s="86" t="s">
        <v>223</v>
      </c>
      <c r="B46" s="154">
        <v>705715</v>
      </c>
      <c r="C46" s="155"/>
      <c r="D46" s="158">
        <v>878063</v>
      </c>
      <c r="E46" s="155"/>
      <c r="F46" s="158">
        <v>1034770</v>
      </c>
      <c r="G46" s="155"/>
    </row>
    <row r="47" spans="1:7" ht="34.5" thickBot="1">
      <c r="A47" s="88" t="s">
        <v>224</v>
      </c>
      <c r="B47" s="186">
        <v>838427</v>
      </c>
      <c r="C47" s="184"/>
      <c r="D47" s="183">
        <v>1003893</v>
      </c>
      <c r="E47" s="184"/>
      <c r="F47" s="183">
        <v>1158638</v>
      </c>
      <c r="G47" s="184"/>
    </row>
    <row r="48" spans="1:7" ht="17.45" thickBot="1">
      <c r="A48" s="87" t="s">
        <v>225</v>
      </c>
      <c r="B48" s="179"/>
      <c r="C48" s="177"/>
      <c r="D48" s="176"/>
      <c r="E48" s="177"/>
      <c r="F48" s="176"/>
      <c r="G48" s="177"/>
    </row>
    <row r="49" spans="1:7" ht="17.45" thickBot="1"/>
    <row r="50" spans="1:7">
      <c r="A50" s="70"/>
      <c r="B50" s="180">
        <v>45541</v>
      </c>
      <c r="C50" s="151"/>
      <c r="D50" s="180">
        <v>45542</v>
      </c>
      <c r="E50" s="151"/>
      <c r="F50" s="180">
        <v>45543</v>
      </c>
      <c r="G50" s="151"/>
    </row>
    <row r="51" spans="1:7">
      <c r="A51" s="69"/>
      <c r="B51" s="152" t="s">
        <v>227</v>
      </c>
      <c r="C51" s="153"/>
      <c r="D51" s="152" t="s">
        <v>227</v>
      </c>
      <c r="E51" s="153"/>
      <c r="F51" s="152" t="s">
        <v>227</v>
      </c>
      <c r="G51" s="153"/>
    </row>
    <row r="52" spans="1:7">
      <c r="A52" s="69"/>
      <c r="B52" s="152" t="s">
        <v>169</v>
      </c>
      <c r="C52" s="153"/>
      <c r="D52" s="152" t="s">
        <v>170</v>
      </c>
      <c r="E52" s="153"/>
      <c r="F52" s="152" t="s">
        <v>171</v>
      </c>
      <c r="G52" s="153"/>
    </row>
    <row r="53" spans="1:7">
      <c r="A53" s="69"/>
      <c r="B53" s="152"/>
      <c r="C53" s="153"/>
      <c r="D53" s="152"/>
      <c r="E53" s="153"/>
      <c r="F53" s="152"/>
      <c r="G53" s="153"/>
    </row>
    <row r="54" spans="1:7">
      <c r="A54" s="65" t="s">
        <v>182</v>
      </c>
      <c r="B54" s="68" t="s">
        <v>183</v>
      </c>
      <c r="C54" s="67" t="s">
        <v>184</v>
      </c>
      <c r="D54" s="68" t="s">
        <v>183</v>
      </c>
      <c r="E54" s="67" t="s">
        <v>184</v>
      </c>
      <c r="F54" s="68" t="s">
        <v>183</v>
      </c>
      <c r="G54" s="67" t="s">
        <v>184</v>
      </c>
    </row>
    <row r="55" spans="1:7">
      <c r="A55" s="66" t="s">
        <v>185</v>
      </c>
      <c r="B55" s="71">
        <v>119237</v>
      </c>
      <c r="C55" s="72">
        <v>72522</v>
      </c>
      <c r="D55" s="71">
        <v>131403</v>
      </c>
      <c r="E55" s="72">
        <v>72552</v>
      </c>
      <c r="F55" s="71">
        <v>255118</v>
      </c>
      <c r="G55" s="72">
        <v>125612</v>
      </c>
    </row>
    <row r="56" spans="1:7">
      <c r="A56" s="66" t="s">
        <v>186</v>
      </c>
      <c r="B56" s="71">
        <v>29326</v>
      </c>
      <c r="C56" s="72">
        <v>15981</v>
      </c>
      <c r="D56" s="71">
        <v>41705</v>
      </c>
      <c r="E56" s="72">
        <v>25744</v>
      </c>
      <c r="F56" s="71">
        <v>76343</v>
      </c>
      <c r="G56" s="72">
        <v>42035</v>
      </c>
    </row>
    <row r="57" spans="1:7">
      <c r="A57" s="66" t="s">
        <v>187</v>
      </c>
      <c r="B57" s="71">
        <v>38248</v>
      </c>
      <c r="C57" s="72">
        <v>28866</v>
      </c>
      <c r="D57" s="71">
        <v>34474</v>
      </c>
      <c r="E57" s="72">
        <v>24601</v>
      </c>
      <c r="F57" s="71">
        <v>95664</v>
      </c>
      <c r="G57" s="72">
        <v>60830</v>
      </c>
    </row>
    <row r="58" spans="1:7">
      <c r="A58" s="66" t="s">
        <v>188</v>
      </c>
      <c r="B58" s="71">
        <v>24904</v>
      </c>
      <c r="C58" s="72">
        <v>17998</v>
      </c>
      <c r="D58" s="71">
        <v>23021</v>
      </c>
      <c r="E58" s="72">
        <v>16646</v>
      </c>
      <c r="F58" s="71">
        <v>32268</v>
      </c>
      <c r="G58" s="72">
        <v>21546</v>
      </c>
    </row>
    <row r="59" spans="1:7">
      <c r="A59" s="66" t="s">
        <v>189</v>
      </c>
      <c r="B59" s="71">
        <v>5673</v>
      </c>
      <c r="C59" s="72">
        <v>4615</v>
      </c>
      <c r="D59" s="71">
        <v>5421</v>
      </c>
      <c r="E59" s="72">
        <v>4390</v>
      </c>
      <c r="F59" s="71">
        <v>8782</v>
      </c>
      <c r="G59" s="72">
        <v>5960</v>
      </c>
    </row>
    <row r="60" spans="1:7">
      <c r="A60" s="66" t="s">
        <v>190</v>
      </c>
      <c r="B60" s="71">
        <v>5722</v>
      </c>
      <c r="C60" s="72">
        <v>3663</v>
      </c>
      <c r="D60" s="71">
        <v>6761</v>
      </c>
      <c r="E60" s="72">
        <v>4015</v>
      </c>
      <c r="F60" s="71">
        <v>9629</v>
      </c>
      <c r="G60" s="72">
        <v>5226</v>
      </c>
    </row>
    <row r="61" spans="1:7" ht="17.45" thickBot="1">
      <c r="A61" s="82" t="s">
        <v>191</v>
      </c>
      <c r="B61" s="79">
        <v>231891</v>
      </c>
      <c r="C61" s="80">
        <v>156943</v>
      </c>
      <c r="D61" s="79">
        <v>247637</v>
      </c>
      <c r="E61" s="80">
        <v>163714</v>
      </c>
      <c r="F61" s="79">
        <v>510997</v>
      </c>
      <c r="G61" s="80">
        <v>285213</v>
      </c>
    </row>
    <row r="62" spans="1:7">
      <c r="A62" s="83" t="s">
        <v>198</v>
      </c>
      <c r="B62" s="162"/>
      <c r="C62" s="196"/>
      <c r="D62" s="159"/>
      <c r="E62" s="196"/>
      <c r="F62" s="159"/>
      <c r="G62" s="197"/>
    </row>
    <row r="63" spans="1:7" ht="17.45" thickBot="1">
      <c r="A63" s="84" t="s">
        <v>193</v>
      </c>
      <c r="B63" s="156"/>
      <c r="C63" s="194"/>
      <c r="D63" s="157"/>
      <c r="E63" s="194"/>
      <c r="F63" s="157"/>
      <c r="G63" s="195"/>
    </row>
    <row r="64" spans="1:7">
      <c r="B64" s="72"/>
      <c r="C64" s="72"/>
      <c r="D64" s="72"/>
      <c r="E64" s="72"/>
      <c r="F64" s="72"/>
      <c r="G64" s="72"/>
    </row>
    <row r="65" spans="1:13" ht="17.45" thickBot="1"/>
    <row r="66" spans="1:13">
      <c r="A66" s="70"/>
      <c r="B66" s="180">
        <v>45861</v>
      </c>
      <c r="C66" s="151"/>
      <c r="D66" s="180">
        <v>45862</v>
      </c>
      <c r="E66" s="151"/>
      <c r="F66" s="180">
        <v>45863</v>
      </c>
      <c r="G66" s="151"/>
      <c r="H66" s="180">
        <v>45864</v>
      </c>
      <c r="I66" s="151"/>
      <c r="J66" s="180">
        <v>45865</v>
      </c>
      <c r="K66" s="151"/>
    </row>
    <row r="67" spans="1:13">
      <c r="A67" s="69"/>
      <c r="B67" s="152" t="s">
        <v>228</v>
      </c>
      <c r="C67" s="153"/>
      <c r="D67" s="152" t="s">
        <v>228</v>
      </c>
      <c r="E67" s="153"/>
      <c r="F67" s="152" t="s">
        <v>228</v>
      </c>
      <c r="G67" s="153"/>
      <c r="H67" s="152" t="s">
        <v>228</v>
      </c>
      <c r="I67" s="153"/>
      <c r="J67" s="152" t="s">
        <v>228</v>
      </c>
      <c r="K67" s="153"/>
    </row>
    <row r="68" spans="1:13">
      <c r="A68" s="69"/>
      <c r="B68" s="152" t="s">
        <v>169</v>
      </c>
      <c r="C68" s="153"/>
      <c r="D68" s="152" t="s">
        <v>170</v>
      </c>
      <c r="E68" s="153"/>
      <c r="F68" s="152" t="s">
        <v>171</v>
      </c>
      <c r="G68" s="153"/>
      <c r="H68" s="152" t="s">
        <v>172</v>
      </c>
      <c r="I68" s="153"/>
      <c r="J68" s="152" t="s">
        <v>173</v>
      </c>
      <c r="K68" s="153"/>
    </row>
    <row r="69" spans="1:13">
      <c r="A69" s="69"/>
      <c r="B69" s="152" t="s">
        <v>213</v>
      </c>
      <c r="C69" s="153"/>
      <c r="D69" s="152" t="s">
        <v>213</v>
      </c>
      <c r="E69" s="153"/>
      <c r="F69" s="152" t="s">
        <v>229</v>
      </c>
      <c r="G69" s="153"/>
      <c r="H69" s="152" t="s">
        <v>229</v>
      </c>
      <c r="I69" s="153"/>
      <c r="J69" s="152" t="s">
        <v>229</v>
      </c>
      <c r="K69" s="153"/>
    </row>
    <row r="70" spans="1:13">
      <c r="A70" s="65" t="s">
        <v>182</v>
      </c>
      <c r="B70" s="68" t="s">
        <v>183</v>
      </c>
      <c r="C70" s="67" t="s">
        <v>184</v>
      </c>
      <c r="D70" s="68" t="s">
        <v>183</v>
      </c>
      <c r="E70" s="67" t="s">
        <v>184</v>
      </c>
      <c r="F70" s="68" t="s">
        <v>183</v>
      </c>
      <c r="G70" s="67" t="s">
        <v>184</v>
      </c>
      <c r="H70" s="68" t="s">
        <v>183</v>
      </c>
      <c r="I70" s="67" t="s">
        <v>184</v>
      </c>
      <c r="J70" s="68" t="s">
        <v>183</v>
      </c>
      <c r="K70" s="67" t="s">
        <v>184</v>
      </c>
    </row>
    <row r="71" spans="1:13">
      <c r="A71" s="66" t="s">
        <v>185</v>
      </c>
      <c r="B71" s="71">
        <v>31098</v>
      </c>
      <c r="C71" s="72">
        <v>18547</v>
      </c>
      <c r="D71" s="71">
        <v>25528</v>
      </c>
      <c r="E71" s="72">
        <v>16898</v>
      </c>
      <c r="F71" s="71">
        <v>215756</v>
      </c>
      <c r="G71" s="72">
        <v>124878</v>
      </c>
      <c r="H71" s="71">
        <v>441752</v>
      </c>
      <c r="I71" s="72">
        <v>219512</v>
      </c>
      <c r="J71" s="71">
        <v>504251</v>
      </c>
      <c r="K71" s="72">
        <v>302686</v>
      </c>
    </row>
    <row r="72" spans="1:13">
      <c r="A72" s="66" t="s">
        <v>186</v>
      </c>
      <c r="B72" s="71">
        <v>13222</v>
      </c>
      <c r="C72" s="72">
        <v>9582</v>
      </c>
      <c r="D72" s="71">
        <v>9932</v>
      </c>
      <c r="E72" s="72">
        <v>6727</v>
      </c>
      <c r="F72" s="71">
        <v>41880</v>
      </c>
      <c r="G72" s="72">
        <v>26613</v>
      </c>
      <c r="H72" s="71">
        <v>48291</v>
      </c>
      <c r="I72" s="72">
        <v>32162</v>
      </c>
      <c r="J72" s="71">
        <v>70667</v>
      </c>
      <c r="K72" s="72">
        <v>43202</v>
      </c>
    </row>
    <row r="73" spans="1:13">
      <c r="A73" s="66" t="s">
        <v>187</v>
      </c>
      <c r="B73" s="71">
        <v>24156</v>
      </c>
      <c r="C73" s="72">
        <v>15171</v>
      </c>
      <c r="D73" s="71">
        <v>20769</v>
      </c>
      <c r="E73" s="72">
        <v>13495</v>
      </c>
      <c r="F73" s="71">
        <v>73568</v>
      </c>
      <c r="G73" s="72">
        <v>56493</v>
      </c>
      <c r="H73" s="71">
        <v>42575</v>
      </c>
      <c r="I73" s="72">
        <v>33655</v>
      </c>
      <c r="J73" s="71">
        <v>150664</v>
      </c>
      <c r="K73" s="72">
        <v>108212</v>
      </c>
    </row>
    <row r="74" spans="1:13">
      <c r="A74" s="66" t="s">
        <v>188</v>
      </c>
      <c r="B74" s="71">
        <v>23514</v>
      </c>
      <c r="C74" s="72">
        <v>18449</v>
      </c>
      <c r="D74" s="71">
        <v>25568</v>
      </c>
      <c r="E74" s="72">
        <v>21036</v>
      </c>
      <c r="F74" s="71">
        <v>35083</v>
      </c>
      <c r="G74" s="72">
        <v>28777</v>
      </c>
      <c r="H74" s="71">
        <v>36722</v>
      </c>
      <c r="I74" s="72">
        <v>29813</v>
      </c>
      <c r="J74" s="71">
        <v>44048</v>
      </c>
      <c r="K74" s="72">
        <v>35355</v>
      </c>
    </row>
    <row r="75" spans="1:13">
      <c r="A75" s="66" t="s">
        <v>189</v>
      </c>
      <c r="B75" s="71">
        <v>8426</v>
      </c>
      <c r="C75" s="72">
        <v>6871</v>
      </c>
      <c r="D75" s="71">
        <v>7956</v>
      </c>
      <c r="E75" s="72">
        <v>6457</v>
      </c>
      <c r="F75" s="71">
        <v>12012</v>
      </c>
      <c r="G75" s="72">
        <v>9837</v>
      </c>
      <c r="H75" s="71">
        <v>11983</v>
      </c>
      <c r="I75" s="72">
        <v>9475</v>
      </c>
      <c r="J75" s="71">
        <v>25680</v>
      </c>
      <c r="K75" s="72">
        <v>20062</v>
      </c>
    </row>
    <row r="76" spans="1:13">
      <c r="A76" s="66" t="s">
        <v>190</v>
      </c>
      <c r="B76" s="71">
        <v>5410</v>
      </c>
      <c r="C76" s="72">
        <v>3022</v>
      </c>
      <c r="D76" s="71">
        <v>3682</v>
      </c>
      <c r="E76" s="72">
        <v>2123</v>
      </c>
      <c r="F76" s="71">
        <v>7607</v>
      </c>
      <c r="G76" s="72">
        <v>4965</v>
      </c>
      <c r="H76" s="71">
        <v>12417</v>
      </c>
      <c r="I76" s="72">
        <v>7301</v>
      </c>
      <c r="J76" s="71">
        <v>13162</v>
      </c>
      <c r="K76" s="72">
        <v>8444</v>
      </c>
    </row>
    <row r="77" spans="1:13" ht="17.45" thickBot="1">
      <c r="A77" s="82" t="s">
        <v>191</v>
      </c>
      <c r="B77" s="79">
        <v>126501</v>
      </c>
      <c r="C77" s="80">
        <v>95342</v>
      </c>
      <c r="D77" s="79">
        <v>126770</v>
      </c>
      <c r="E77" s="80">
        <v>98225</v>
      </c>
      <c r="F77" s="79">
        <v>375055</v>
      </c>
      <c r="G77" s="80">
        <v>276175</v>
      </c>
      <c r="H77" s="79">
        <v>604713</v>
      </c>
      <c r="I77" s="80">
        <v>355175</v>
      </c>
      <c r="J77" s="79">
        <v>817769</v>
      </c>
      <c r="K77" s="80">
        <v>561375</v>
      </c>
    </row>
    <row r="78" spans="1:13">
      <c r="A78" s="83" t="s">
        <v>198</v>
      </c>
      <c r="B78" s="162">
        <v>1240793</v>
      </c>
      <c r="C78" s="196"/>
      <c r="D78" s="159">
        <v>1060121</v>
      </c>
      <c r="E78" s="196"/>
      <c r="F78" s="159">
        <v>1725230</v>
      </c>
      <c r="G78" s="196"/>
      <c r="H78" s="159">
        <v>1794859</v>
      </c>
      <c r="I78" s="196"/>
      <c r="J78" s="159">
        <v>2412378</v>
      </c>
      <c r="K78" s="197"/>
    </row>
    <row r="79" spans="1:13" ht="17.45" thickBot="1">
      <c r="A79" s="84" t="s">
        <v>193</v>
      </c>
      <c r="B79" s="156"/>
      <c r="C79" s="194"/>
      <c r="D79" s="157"/>
      <c r="E79" s="194"/>
      <c r="F79" s="157"/>
      <c r="G79" s="194"/>
      <c r="H79" s="157"/>
      <c r="I79" s="194"/>
      <c r="J79" s="157"/>
      <c r="K79" s="195"/>
    </row>
    <row r="80" spans="1:13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spans="1:1">
      <c r="A81" s="89" t="s">
        <v>220</v>
      </c>
    </row>
  </sheetData>
  <mergeCells count="115">
    <mergeCell ref="B68:C68"/>
    <mergeCell ref="D68:E68"/>
    <mergeCell ref="F68:G68"/>
    <mergeCell ref="H68:I68"/>
    <mergeCell ref="J68:K68"/>
    <mergeCell ref="B52:C52"/>
    <mergeCell ref="D52:E52"/>
    <mergeCell ref="F52:G52"/>
    <mergeCell ref="B34:C34"/>
    <mergeCell ref="B35:C35"/>
    <mergeCell ref="F34:G34"/>
    <mergeCell ref="F35:G35"/>
    <mergeCell ref="D34:E34"/>
    <mergeCell ref="D35:E35"/>
    <mergeCell ref="D63:E63"/>
    <mergeCell ref="B36:C36"/>
    <mergeCell ref="D36:E36"/>
    <mergeCell ref="F36:G36"/>
    <mergeCell ref="F37:G37"/>
    <mergeCell ref="F46:G46"/>
    <mergeCell ref="F47:G47"/>
    <mergeCell ref="B37:C37"/>
    <mergeCell ref="B46:C46"/>
    <mergeCell ref="B47:C47"/>
    <mergeCell ref="J78:K78"/>
    <mergeCell ref="J79:K79"/>
    <mergeCell ref="F66:G66"/>
    <mergeCell ref="F67:G67"/>
    <mergeCell ref="F69:G69"/>
    <mergeCell ref="F78:G78"/>
    <mergeCell ref="F79:G79"/>
    <mergeCell ref="H66:I66"/>
    <mergeCell ref="H67:I67"/>
    <mergeCell ref="H69:I69"/>
    <mergeCell ref="H78:I78"/>
    <mergeCell ref="H79:I79"/>
    <mergeCell ref="J66:K66"/>
    <mergeCell ref="J67:K67"/>
    <mergeCell ref="J69:K69"/>
    <mergeCell ref="B78:C78"/>
    <mergeCell ref="B79:C79"/>
    <mergeCell ref="D66:E66"/>
    <mergeCell ref="D67:E67"/>
    <mergeCell ref="D69:E69"/>
    <mergeCell ref="D78:E78"/>
    <mergeCell ref="D79:E79"/>
    <mergeCell ref="F50:G50"/>
    <mergeCell ref="F51:G51"/>
    <mergeCell ref="F53:G53"/>
    <mergeCell ref="F62:G62"/>
    <mergeCell ref="F63:G63"/>
    <mergeCell ref="B50:C50"/>
    <mergeCell ref="B51:C51"/>
    <mergeCell ref="B66:C66"/>
    <mergeCell ref="B67:C67"/>
    <mergeCell ref="B69:C69"/>
    <mergeCell ref="B53:C53"/>
    <mergeCell ref="B62:C62"/>
    <mergeCell ref="B63:C63"/>
    <mergeCell ref="D50:E50"/>
    <mergeCell ref="D51:E51"/>
    <mergeCell ref="D53:E53"/>
    <mergeCell ref="D62:E62"/>
    <mergeCell ref="D37:E37"/>
    <mergeCell ref="D46:E46"/>
    <mergeCell ref="D47:E47"/>
    <mergeCell ref="B17:C17"/>
    <mergeCell ref="B18:C18"/>
    <mergeCell ref="B20:C20"/>
    <mergeCell ref="B29:C29"/>
    <mergeCell ref="B30:C30"/>
    <mergeCell ref="D17:E17"/>
    <mergeCell ref="D18:E18"/>
    <mergeCell ref="D20:E20"/>
    <mergeCell ref="D29:E29"/>
    <mergeCell ref="D30:E30"/>
    <mergeCell ref="B19:C19"/>
    <mergeCell ref="D19:E19"/>
    <mergeCell ref="B31:C31"/>
    <mergeCell ref="D31:E31"/>
    <mergeCell ref="F18:G18"/>
    <mergeCell ref="F20:G20"/>
    <mergeCell ref="F29:G29"/>
    <mergeCell ref="F30:G30"/>
    <mergeCell ref="H17:I17"/>
    <mergeCell ref="H18:I18"/>
    <mergeCell ref="H20:I20"/>
    <mergeCell ref="H29:I29"/>
    <mergeCell ref="H30:I30"/>
    <mergeCell ref="F19:G19"/>
    <mergeCell ref="H19:I19"/>
    <mergeCell ref="F31:G31"/>
    <mergeCell ref="H31:I31"/>
    <mergeCell ref="B48:C48"/>
    <mergeCell ref="D48:E48"/>
    <mergeCell ref="F48:G48"/>
    <mergeCell ref="B1:C1"/>
    <mergeCell ref="B2:C2"/>
    <mergeCell ref="B4:C4"/>
    <mergeCell ref="B13:C13"/>
    <mergeCell ref="B14:C14"/>
    <mergeCell ref="D1:E1"/>
    <mergeCell ref="D2:E2"/>
    <mergeCell ref="D4:E4"/>
    <mergeCell ref="D13:E13"/>
    <mergeCell ref="D14:E14"/>
    <mergeCell ref="B3:C3"/>
    <mergeCell ref="D3:E3"/>
    <mergeCell ref="F1:G1"/>
    <mergeCell ref="F2:G2"/>
    <mergeCell ref="F4:G4"/>
    <mergeCell ref="F13:G13"/>
    <mergeCell ref="F14:G14"/>
    <mergeCell ref="F3:G3"/>
    <mergeCell ref="F17:G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B6F7-796E-497A-A27A-8CAC322FFD80}">
  <dimension ref="A1:AW97"/>
  <sheetViews>
    <sheetView topLeftCell="A66" workbookViewId="0">
      <pane xSplit="1" topLeftCell="F1" activePane="topRight" state="frozen"/>
      <selection pane="topRight" activeCell="AB94" sqref="AB94"/>
    </sheetView>
  </sheetViews>
  <sheetFormatPr defaultRowHeight="17.100000000000001"/>
  <cols>
    <col min="1" max="1" width="18" customWidth="1"/>
    <col min="2" max="49" width="12.5" customWidth="1"/>
  </cols>
  <sheetData>
    <row r="1" spans="1:17">
      <c r="A1" s="70"/>
      <c r="B1" s="180">
        <v>43778</v>
      </c>
      <c r="C1" s="151"/>
      <c r="D1" s="180">
        <v>43779</v>
      </c>
      <c r="E1" s="151"/>
      <c r="F1" s="180">
        <v>43780</v>
      </c>
      <c r="G1" s="151"/>
      <c r="H1" s="180">
        <v>43785</v>
      </c>
      <c r="I1" s="151"/>
      <c r="J1" s="180">
        <v>43786</v>
      </c>
      <c r="K1" s="151"/>
      <c r="L1" s="180">
        <v>43787</v>
      </c>
      <c r="M1" s="151"/>
      <c r="N1" s="180">
        <v>43793</v>
      </c>
      <c r="O1" s="151"/>
      <c r="P1" s="180">
        <v>43794</v>
      </c>
      <c r="Q1" s="151"/>
    </row>
    <row r="2" spans="1:17">
      <c r="A2" s="69"/>
      <c r="B2" s="152" t="s">
        <v>230</v>
      </c>
      <c r="C2" s="153"/>
      <c r="D2" s="152" t="s">
        <v>230</v>
      </c>
      <c r="E2" s="153"/>
      <c r="F2" s="152" t="s">
        <v>230</v>
      </c>
      <c r="G2" s="153"/>
      <c r="H2" s="152" t="s">
        <v>230</v>
      </c>
      <c r="I2" s="153"/>
      <c r="J2" s="152" t="s">
        <v>230</v>
      </c>
      <c r="K2" s="153"/>
      <c r="L2" s="152" t="s">
        <v>230</v>
      </c>
      <c r="M2" s="153"/>
      <c r="N2" s="152" t="s">
        <v>230</v>
      </c>
      <c r="O2" s="153"/>
      <c r="P2" s="152" t="s">
        <v>230</v>
      </c>
      <c r="Q2" s="153"/>
    </row>
    <row r="3" spans="1:17">
      <c r="A3" s="69"/>
      <c r="B3" s="152" t="s">
        <v>169</v>
      </c>
      <c r="C3" s="153"/>
      <c r="D3" s="152" t="s">
        <v>170</v>
      </c>
      <c r="E3" s="153"/>
      <c r="F3" s="152" t="s">
        <v>171</v>
      </c>
      <c r="G3" s="153"/>
      <c r="H3" s="152" t="s">
        <v>172</v>
      </c>
      <c r="I3" s="153"/>
      <c r="J3" s="152" t="s">
        <v>173</v>
      </c>
      <c r="K3" s="153"/>
      <c r="L3" s="152" t="s">
        <v>174</v>
      </c>
      <c r="M3" s="153"/>
      <c r="N3" s="152" t="s">
        <v>175</v>
      </c>
      <c r="O3" s="153"/>
      <c r="P3" s="152" t="s">
        <v>176</v>
      </c>
      <c r="Q3" s="153"/>
    </row>
    <row r="4" spans="1:17">
      <c r="A4" s="69"/>
      <c r="B4" s="152" t="s">
        <v>179</v>
      </c>
      <c r="C4" s="153"/>
      <c r="D4" s="152" t="s">
        <v>179</v>
      </c>
      <c r="E4" s="153"/>
      <c r="F4" s="152" t="s">
        <v>179</v>
      </c>
      <c r="G4" s="153"/>
      <c r="H4" s="152" t="s">
        <v>231</v>
      </c>
      <c r="I4" s="153"/>
      <c r="J4" s="152" t="s">
        <v>231</v>
      </c>
      <c r="K4" s="153"/>
      <c r="L4" s="152" t="s">
        <v>231</v>
      </c>
      <c r="M4" s="153"/>
      <c r="N4" s="152" t="s">
        <v>181</v>
      </c>
      <c r="O4" s="153"/>
      <c r="P4" s="152" t="s">
        <v>181</v>
      </c>
      <c r="Q4" s="153"/>
    </row>
    <row r="5" spans="1:17">
      <c r="A5" s="65" t="s">
        <v>182</v>
      </c>
      <c r="B5" s="68" t="s">
        <v>183</v>
      </c>
      <c r="C5" s="67" t="s">
        <v>184</v>
      </c>
      <c r="D5" s="68" t="s">
        <v>183</v>
      </c>
      <c r="E5" s="67" t="s">
        <v>184</v>
      </c>
      <c r="F5" s="68" t="s">
        <v>183</v>
      </c>
      <c r="G5" s="67" t="s">
        <v>184</v>
      </c>
      <c r="H5" s="68" t="s">
        <v>183</v>
      </c>
      <c r="I5" s="67" t="s">
        <v>184</v>
      </c>
      <c r="J5" s="68" t="s">
        <v>183</v>
      </c>
      <c r="K5" s="67" t="s">
        <v>184</v>
      </c>
      <c r="L5" s="68" t="s">
        <v>183</v>
      </c>
      <c r="M5" s="67" t="s">
        <v>184</v>
      </c>
      <c r="N5" s="68" t="s">
        <v>183</v>
      </c>
      <c r="O5" s="67" t="s">
        <v>184</v>
      </c>
      <c r="P5" s="68" t="s">
        <v>183</v>
      </c>
      <c r="Q5" s="67" t="s">
        <v>184</v>
      </c>
    </row>
    <row r="6" spans="1:17">
      <c r="A6" s="66" t="s">
        <v>185</v>
      </c>
      <c r="B6" s="71">
        <v>20843</v>
      </c>
      <c r="C6" s="72">
        <v>12173</v>
      </c>
      <c r="D6" s="71">
        <v>50094</v>
      </c>
      <c r="E6" s="72">
        <v>19301</v>
      </c>
      <c r="F6" s="71">
        <v>34735</v>
      </c>
      <c r="G6" s="72">
        <v>16051</v>
      </c>
      <c r="H6" s="71">
        <v>38157</v>
      </c>
      <c r="I6" s="72">
        <v>14919</v>
      </c>
      <c r="J6" s="71">
        <v>26115</v>
      </c>
      <c r="K6" s="72">
        <v>14182</v>
      </c>
      <c r="L6" s="71">
        <v>48012</v>
      </c>
      <c r="M6" s="72">
        <v>22239</v>
      </c>
      <c r="N6" s="71">
        <v>22003</v>
      </c>
      <c r="O6" s="72">
        <v>11631</v>
      </c>
      <c r="P6" s="71">
        <v>32593</v>
      </c>
      <c r="Q6" s="72">
        <v>14119</v>
      </c>
    </row>
    <row r="7" spans="1:17">
      <c r="A7" s="66" t="s">
        <v>186</v>
      </c>
      <c r="B7" s="71">
        <v>29723</v>
      </c>
      <c r="C7" s="72">
        <v>18331</v>
      </c>
      <c r="D7" s="71">
        <v>16442</v>
      </c>
      <c r="E7" s="72">
        <v>9726</v>
      </c>
      <c r="F7" s="71">
        <v>33408</v>
      </c>
      <c r="G7" s="72">
        <v>18140</v>
      </c>
      <c r="H7" s="71">
        <v>11969</v>
      </c>
      <c r="I7" s="72">
        <v>6337</v>
      </c>
      <c r="J7" s="71">
        <v>14509</v>
      </c>
      <c r="K7" s="72">
        <v>7180</v>
      </c>
      <c r="L7" s="71">
        <v>11038</v>
      </c>
      <c r="M7" s="72">
        <v>6248</v>
      </c>
      <c r="N7" s="71">
        <v>22103</v>
      </c>
      <c r="O7" s="72">
        <v>11771</v>
      </c>
      <c r="P7" s="71">
        <v>26832</v>
      </c>
      <c r="Q7" s="72">
        <v>13484</v>
      </c>
    </row>
    <row r="8" spans="1:17">
      <c r="A8" s="66" t="s">
        <v>187</v>
      </c>
      <c r="B8" s="71">
        <v>10385</v>
      </c>
      <c r="C8" s="72">
        <v>5914</v>
      </c>
      <c r="D8" s="71">
        <v>9193</v>
      </c>
      <c r="E8" s="72">
        <v>6061</v>
      </c>
      <c r="F8" s="71">
        <v>4922</v>
      </c>
      <c r="G8" s="72">
        <v>3070</v>
      </c>
      <c r="H8" s="71">
        <v>9097</v>
      </c>
      <c r="I8" s="72">
        <v>3996</v>
      </c>
      <c r="J8" s="71">
        <v>11529</v>
      </c>
      <c r="K8" s="72">
        <v>6131</v>
      </c>
      <c r="L8" s="71">
        <v>7947</v>
      </c>
      <c r="M8" s="72">
        <v>4339</v>
      </c>
      <c r="N8" s="71">
        <v>17031</v>
      </c>
      <c r="O8" s="72">
        <v>11074</v>
      </c>
      <c r="P8" s="71">
        <v>17514</v>
      </c>
      <c r="Q8" s="72">
        <v>9254</v>
      </c>
    </row>
    <row r="9" spans="1:17">
      <c r="A9" s="66" t="s">
        <v>188</v>
      </c>
      <c r="B9" s="71">
        <v>23926</v>
      </c>
      <c r="C9" s="72">
        <v>16402</v>
      </c>
      <c r="D9" s="71">
        <v>28302</v>
      </c>
      <c r="E9" s="72">
        <v>19308</v>
      </c>
      <c r="F9" s="71">
        <v>28829</v>
      </c>
      <c r="G9" s="72">
        <v>19213</v>
      </c>
      <c r="H9" s="71">
        <v>27925</v>
      </c>
      <c r="I9" s="72">
        <v>16840</v>
      </c>
      <c r="J9" s="71">
        <v>34411</v>
      </c>
      <c r="K9" s="72">
        <v>23863</v>
      </c>
      <c r="L9" s="71">
        <v>31436</v>
      </c>
      <c r="M9" s="72">
        <v>22320</v>
      </c>
      <c r="N9" s="71">
        <v>55838</v>
      </c>
      <c r="O9" s="72">
        <v>38539</v>
      </c>
      <c r="P9" s="71">
        <v>75263</v>
      </c>
      <c r="Q9" s="72">
        <v>47700</v>
      </c>
    </row>
    <row r="10" spans="1:17">
      <c r="A10" s="66" t="s">
        <v>189</v>
      </c>
      <c r="B10" s="71">
        <v>2891</v>
      </c>
      <c r="C10" s="72">
        <v>2050</v>
      </c>
      <c r="D10" s="71">
        <v>1962</v>
      </c>
      <c r="E10" s="72">
        <v>1439</v>
      </c>
      <c r="F10" s="71">
        <v>2312</v>
      </c>
      <c r="G10" s="72">
        <v>1431</v>
      </c>
      <c r="H10" s="71">
        <v>3534</v>
      </c>
      <c r="I10" s="72">
        <v>2581</v>
      </c>
      <c r="J10" s="71">
        <v>4262</v>
      </c>
      <c r="K10" s="72">
        <v>3057</v>
      </c>
      <c r="L10" s="71">
        <v>3829</v>
      </c>
      <c r="M10" s="72">
        <v>2457</v>
      </c>
      <c r="N10" s="71">
        <v>7238</v>
      </c>
      <c r="O10" s="72">
        <v>5216</v>
      </c>
      <c r="P10" s="71">
        <v>9706</v>
      </c>
      <c r="Q10" s="72">
        <v>5698</v>
      </c>
    </row>
    <row r="11" spans="1:17">
      <c r="A11" s="66" t="s">
        <v>190</v>
      </c>
      <c r="B11" s="71">
        <v>3763</v>
      </c>
      <c r="C11" s="72">
        <v>2532</v>
      </c>
      <c r="D11" s="71">
        <v>4744</v>
      </c>
      <c r="E11" s="72">
        <v>3030</v>
      </c>
      <c r="F11" s="71">
        <v>6216</v>
      </c>
      <c r="G11" s="72">
        <v>4444</v>
      </c>
      <c r="H11" s="71">
        <v>8399</v>
      </c>
      <c r="I11" s="72">
        <v>4096</v>
      </c>
      <c r="J11" s="71">
        <v>17333</v>
      </c>
      <c r="K11" s="72">
        <v>9949</v>
      </c>
      <c r="L11" s="71">
        <v>25888</v>
      </c>
      <c r="M11" s="72">
        <v>10374</v>
      </c>
      <c r="N11" s="71">
        <v>24723</v>
      </c>
      <c r="O11" s="72">
        <v>9914</v>
      </c>
      <c r="P11" s="71">
        <v>29912</v>
      </c>
      <c r="Q11" s="72">
        <v>15980</v>
      </c>
    </row>
    <row r="12" spans="1:17" ht="17.45" thickBot="1">
      <c r="A12" s="82" t="s">
        <v>191</v>
      </c>
      <c r="B12" s="79">
        <v>99521</v>
      </c>
      <c r="C12" s="80">
        <v>69898</v>
      </c>
      <c r="D12" s="79">
        <v>128823</v>
      </c>
      <c r="E12" s="80">
        <v>72176</v>
      </c>
      <c r="F12" s="79">
        <v>120498</v>
      </c>
      <c r="G12" s="80">
        <v>75957</v>
      </c>
      <c r="H12" s="79">
        <v>114977</v>
      </c>
      <c r="I12" s="80">
        <v>60347</v>
      </c>
      <c r="J12" s="79">
        <v>113015</v>
      </c>
      <c r="K12" s="80">
        <v>76552</v>
      </c>
      <c r="L12" s="79">
        <v>124935</v>
      </c>
      <c r="M12" s="80">
        <v>81238</v>
      </c>
      <c r="N12" s="79">
        <v>152088</v>
      </c>
      <c r="O12" s="80">
        <v>101179</v>
      </c>
      <c r="P12" s="79">
        <v>197470</v>
      </c>
      <c r="Q12" s="80">
        <v>119353</v>
      </c>
    </row>
    <row r="13" spans="1:17">
      <c r="A13" s="83" t="s">
        <v>198</v>
      </c>
      <c r="B13" s="162"/>
      <c r="C13" s="196"/>
      <c r="D13" s="159"/>
      <c r="E13" s="196"/>
      <c r="F13" s="159"/>
      <c r="G13" s="196"/>
      <c r="H13" s="159"/>
      <c r="I13" s="196"/>
      <c r="J13" s="159"/>
      <c r="K13" s="196"/>
      <c r="L13" s="159"/>
      <c r="M13" s="196"/>
      <c r="N13" s="159"/>
      <c r="O13" s="196"/>
      <c r="P13" s="159"/>
      <c r="Q13" s="197"/>
    </row>
    <row r="14" spans="1:17" ht="17.45" thickBot="1">
      <c r="A14" s="84" t="s">
        <v>193</v>
      </c>
      <c r="B14" s="156"/>
      <c r="C14" s="194"/>
      <c r="D14" s="157"/>
      <c r="E14" s="194"/>
      <c r="F14" s="157"/>
      <c r="G14" s="194"/>
      <c r="H14" s="157"/>
      <c r="I14" s="194"/>
      <c r="J14" s="157"/>
      <c r="K14" s="194"/>
      <c r="L14" s="157"/>
      <c r="M14" s="194"/>
      <c r="N14" s="157"/>
      <c r="O14" s="194"/>
      <c r="P14" s="157"/>
      <c r="Q14" s="195"/>
    </row>
    <row r="15" spans="1:17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</row>
    <row r="16" spans="1:17" ht="17.45" thickBot="1"/>
    <row r="17" spans="1:49">
      <c r="A17" s="70"/>
      <c r="B17" s="180">
        <v>44519</v>
      </c>
      <c r="C17" s="151"/>
      <c r="D17" s="180">
        <v>44520</v>
      </c>
      <c r="E17" s="151"/>
      <c r="F17" s="180">
        <v>44521</v>
      </c>
      <c r="G17" s="151"/>
      <c r="H17" s="180">
        <v>44523</v>
      </c>
      <c r="I17" s="151"/>
      <c r="J17" s="180">
        <v>44524</v>
      </c>
      <c r="K17" s="151"/>
      <c r="L17" s="180">
        <v>44525</v>
      </c>
      <c r="M17" s="151"/>
      <c r="N17" s="180">
        <v>44527</v>
      </c>
      <c r="O17" s="151"/>
      <c r="P17" s="180">
        <v>44528</v>
      </c>
      <c r="Q17" s="151"/>
      <c r="R17" s="180">
        <v>44529</v>
      </c>
      <c r="S17" s="151"/>
      <c r="T17" s="180">
        <v>44530</v>
      </c>
      <c r="U17" s="151"/>
      <c r="V17" s="180">
        <v>44531</v>
      </c>
      <c r="W17" s="151"/>
      <c r="X17" s="180">
        <v>44532</v>
      </c>
      <c r="Y17" s="151"/>
      <c r="Z17" s="180">
        <v>44534</v>
      </c>
      <c r="AA17" s="151"/>
      <c r="AB17" s="180">
        <v>44535</v>
      </c>
      <c r="AC17" s="151"/>
      <c r="AD17" s="180">
        <v>44536</v>
      </c>
      <c r="AE17" s="151"/>
      <c r="AF17" s="180">
        <v>44537</v>
      </c>
      <c r="AG17" s="151"/>
      <c r="AH17" s="180">
        <v>44538</v>
      </c>
      <c r="AI17" s="151"/>
      <c r="AJ17" s="180">
        <v>44539</v>
      </c>
      <c r="AK17" s="151"/>
      <c r="AL17" s="180">
        <v>44541</v>
      </c>
      <c r="AM17" s="151"/>
      <c r="AN17" s="180">
        <v>44542</v>
      </c>
      <c r="AO17" s="151"/>
      <c r="AP17" s="180">
        <v>44546</v>
      </c>
      <c r="AQ17" s="151"/>
      <c r="AR17" s="180">
        <v>44547</v>
      </c>
      <c r="AS17" s="151"/>
      <c r="AT17" s="180">
        <v>44548</v>
      </c>
      <c r="AU17" s="151"/>
      <c r="AV17" s="180">
        <v>44549</v>
      </c>
      <c r="AW17" s="151"/>
    </row>
    <row r="18" spans="1:49">
      <c r="A18" s="69"/>
      <c r="B18" s="152" t="s">
        <v>232</v>
      </c>
      <c r="C18" s="153"/>
      <c r="D18" s="152" t="s">
        <v>232</v>
      </c>
      <c r="E18" s="153"/>
      <c r="F18" s="152" t="s">
        <v>232</v>
      </c>
      <c r="G18" s="153"/>
      <c r="H18" s="152" t="s">
        <v>232</v>
      </c>
      <c r="I18" s="153"/>
      <c r="J18" s="152" t="s">
        <v>232</v>
      </c>
      <c r="K18" s="153"/>
      <c r="L18" s="152" t="s">
        <v>232</v>
      </c>
      <c r="M18" s="153"/>
      <c r="N18" s="152" t="s">
        <v>232</v>
      </c>
      <c r="O18" s="153"/>
      <c r="P18" s="152" t="s">
        <v>232</v>
      </c>
      <c r="Q18" s="153"/>
      <c r="R18" s="152" t="s">
        <v>232</v>
      </c>
      <c r="S18" s="153"/>
      <c r="T18" s="152" t="s">
        <v>232</v>
      </c>
      <c r="U18" s="153"/>
      <c r="V18" s="152" t="s">
        <v>232</v>
      </c>
      <c r="W18" s="153"/>
      <c r="X18" s="152" t="s">
        <v>232</v>
      </c>
      <c r="Y18" s="153"/>
      <c r="Z18" s="152" t="s">
        <v>232</v>
      </c>
      <c r="AA18" s="153"/>
      <c r="AB18" s="152" t="s">
        <v>232</v>
      </c>
      <c r="AC18" s="153"/>
      <c r="AD18" s="152" t="s">
        <v>232</v>
      </c>
      <c r="AE18" s="153"/>
      <c r="AF18" s="152" t="s">
        <v>232</v>
      </c>
      <c r="AG18" s="153"/>
      <c r="AH18" s="152" t="s">
        <v>232</v>
      </c>
      <c r="AI18" s="153"/>
      <c r="AJ18" s="152" t="s">
        <v>232</v>
      </c>
      <c r="AK18" s="153"/>
      <c r="AL18" s="152" t="s">
        <v>232</v>
      </c>
      <c r="AM18" s="153"/>
      <c r="AN18" s="152" t="s">
        <v>232</v>
      </c>
      <c r="AO18" s="153"/>
      <c r="AP18" s="152" t="s">
        <v>232</v>
      </c>
      <c r="AQ18" s="153"/>
      <c r="AR18" s="152" t="s">
        <v>232</v>
      </c>
      <c r="AS18" s="153"/>
      <c r="AT18" s="152" t="s">
        <v>232</v>
      </c>
      <c r="AU18" s="153"/>
      <c r="AV18" s="152" t="s">
        <v>232</v>
      </c>
      <c r="AW18" s="153"/>
    </row>
    <row r="19" spans="1:49">
      <c r="A19" s="69"/>
      <c r="B19" s="152" t="s">
        <v>169</v>
      </c>
      <c r="C19" s="153"/>
      <c r="D19" s="152" t="s">
        <v>170</v>
      </c>
      <c r="E19" s="153"/>
      <c r="F19" s="152" t="s">
        <v>171</v>
      </c>
      <c r="G19" s="153"/>
      <c r="H19" s="152" t="s">
        <v>172</v>
      </c>
      <c r="I19" s="153"/>
      <c r="J19" s="152" t="s">
        <v>173</v>
      </c>
      <c r="K19" s="153"/>
      <c r="L19" s="152" t="s">
        <v>174</v>
      </c>
      <c r="M19" s="153"/>
      <c r="N19" s="152" t="s">
        <v>175</v>
      </c>
      <c r="O19" s="153"/>
      <c r="P19" s="152" t="s">
        <v>176</v>
      </c>
      <c r="Q19" s="153"/>
      <c r="R19" s="152" t="s">
        <v>177</v>
      </c>
      <c r="S19" s="153"/>
      <c r="T19" s="152" t="s">
        <v>178</v>
      </c>
      <c r="U19" s="153"/>
      <c r="V19" s="152" t="s">
        <v>208</v>
      </c>
      <c r="W19" s="153"/>
      <c r="X19" s="152" t="s">
        <v>209</v>
      </c>
      <c r="Y19" s="153"/>
      <c r="Z19" s="152" t="s">
        <v>210</v>
      </c>
      <c r="AA19" s="153"/>
      <c r="AB19" s="152" t="s">
        <v>211</v>
      </c>
      <c r="AC19" s="153"/>
      <c r="AD19" s="152" t="s">
        <v>233</v>
      </c>
      <c r="AE19" s="153"/>
      <c r="AF19" s="152" t="s">
        <v>234</v>
      </c>
      <c r="AG19" s="153"/>
      <c r="AH19" s="152" t="s">
        <v>235</v>
      </c>
      <c r="AI19" s="153"/>
      <c r="AJ19" s="152" t="s">
        <v>236</v>
      </c>
      <c r="AK19" s="153"/>
      <c r="AL19" s="152" t="s">
        <v>237</v>
      </c>
      <c r="AM19" s="153"/>
      <c r="AN19" s="152" t="s">
        <v>238</v>
      </c>
      <c r="AO19" s="153"/>
      <c r="AP19" s="152" t="s">
        <v>239</v>
      </c>
      <c r="AQ19" s="153"/>
      <c r="AR19" s="152" t="s">
        <v>240</v>
      </c>
      <c r="AS19" s="153"/>
      <c r="AT19" s="152" t="s">
        <v>241</v>
      </c>
      <c r="AU19" s="153"/>
      <c r="AV19" s="152" t="s">
        <v>242</v>
      </c>
      <c r="AW19" s="153"/>
    </row>
    <row r="20" spans="1:49">
      <c r="A20" s="69"/>
      <c r="B20" s="152" t="s">
        <v>243</v>
      </c>
      <c r="C20" s="153"/>
      <c r="D20" s="152" t="s">
        <v>243</v>
      </c>
      <c r="E20" s="153"/>
      <c r="F20" s="152" t="s">
        <v>243</v>
      </c>
      <c r="G20" s="153"/>
      <c r="H20" s="152" t="s">
        <v>244</v>
      </c>
      <c r="I20" s="153"/>
      <c r="J20" s="152" t="s">
        <v>244</v>
      </c>
      <c r="K20" s="153"/>
      <c r="L20" s="152" t="s">
        <v>244</v>
      </c>
      <c r="M20" s="153"/>
      <c r="N20" s="152" t="s">
        <v>245</v>
      </c>
      <c r="O20" s="153"/>
      <c r="P20" s="152" t="s">
        <v>245</v>
      </c>
      <c r="Q20" s="153"/>
      <c r="R20" s="152" t="s">
        <v>246</v>
      </c>
      <c r="S20" s="153"/>
      <c r="T20" s="152" t="s">
        <v>244</v>
      </c>
      <c r="U20" s="153"/>
      <c r="V20" s="152" t="s">
        <v>244</v>
      </c>
      <c r="W20" s="153"/>
      <c r="X20" s="152" t="s">
        <v>244</v>
      </c>
      <c r="Y20" s="153"/>
      <c r="Z20" s="152" t="s">
        <v>245</v>
      </c>
      <c r="AA20" s="153"/>
      <c r="AB20" s="152" t="s">
        <v>245</v>
      </c>
      <c r="AC20" s="153"/>
      <c r="AD20" s="152" t="s">
        <v>246</v>
      </c>
      <c r="AE20" s="153"/>
      <c r="AF20" s="152" t="s">
        <v>244</v>
      </c>
      <c r="AG20" s="153"/>
      <c r="AH20" s="152" t="s">
        <v>244</v>
      </c>
      <c r="AI20" s="153"/>
      <c r="AJ20" s="152" t="s">
        <v>244</v>
      </c>
      <c r="AK20" s="153"/>
      <c r="AL20" s="152" t="s">
        <v>245</v>
      </c>
      <c r="AM20" s="153"/>
      <c r="AN20" s="152" t="s">
        <v>245</v>
      </c>
      <c r="AO20" s="153"/>
      <c r="AP20" s="152" t="s">
        <v>247</v>
      </c>
      <c r="AQ20" s="153"/>
      <c r="AR20" s="152" t="s">
        <v>181</v>
      </c>
      <c r="AS20" s="153"/>
      <c r="AT20" s="152" t="s">
        <v>181</v>
      </c>
      <c r="AU20" s="153"/>
      <c r="AV20" s="152" t="s">
        <v>181</v>
      </c>
      <c r="AW20" s="153"/>
    </row>
    <row r="21" spans="1:49">
      <c r="A21" s="65" t="s">
        <v>182</v>
      </c>
      <c r="B21" s="68" t="s">
        <v>183</v>
      </c>
      <c r="C21" s="67" t="s">
        <v>184</v>
      </c>
      <c r="D21" s="68" t="s">
        <v>183</v>
      </c>
      <c r="E21" s="67" t="s">
        <v>184</v>
      </c>
      <c r="F21" s="68" t="s">
        <v>183</v>
      </c>
      <c r="G21" s="67" t="s">
        <v>184</v>
      </c>
      <c r="H21" s="68" t="s">
        <v>183</v>
      </c>
      <c r="I21" s="67" t="s">
        <v>184</v>
      </c>
      <c r="J21" s="68" t="s">
        <v>183</v>
      </c>
      <c r="K21" s="67" t="s">
        <v>184</v>
      </c>
      <c r="L21" s="68" t="s">
        <v>183</v>
      </c>
      <c r="M21" s="67" t="s">
        <v>184</v>
      </c>
      <c r="N21" s="68" t="s">
        <v>183</v>
      </c>
      <c r="O21" s="67" t="s">
        <v>184</v>
      </c>
      <c r="P21" s="68" t="s">
        <v>183</v>
      </c>
      <c r="Q21" s="67" t="s">
        <v>184</v>
      </c>
      <c r="R21" s="68" t="s">
        <v>183</v>
      </c>
      <c r="S21" s="67" t="s">
        <v>184</v>
      </c>
      <c r="T21" s="68" t="s">
        <v>183</v>
      </c>
      <c r="U21" s="67" t="s">
        <v>184</v>
      </c>
      <c r="V21" s="68" t="s">
        <v>183</v>
      </c>
      <c r="W21" s="67" t="s">
        <v>184</v>
      </c>
      <c r="X21" s="68" t="s">
        <v>183</v>
      </c>
      <c r="Y21" s="67" t="s">
        <v>184</v>
      </c>
      <c r="Z21" s="68" t="s">
        <v>183</v>
      </c>
      <c r="AA21" s="67" t="s">
        <v>184</v>
      </c>
      <c r="AB21" s="68" t="s">
        <v>183</v>
      </c>
      <c r="AC21" s="67" t="s">
        <v>184</v>
      </c>
      <c r="AD21" s="68" t="s">
        <v>183</v>
      </c>
      <c r="AE21" s="67" t="s">
        <v>184</v>
      </c>
      <c r="AF21" s="68" t="s">
        <v>183</v>
      </c>
      <c r="AG21" s="67" t="s">
        <v>184</v>
      </c>
      <c r="AH21" s="68" t="s">
        <v>183</v>
      </c>
      <c r="AI21" s="67" t="s">
        <v>184</v>
      </c>
      <c r="AJ21" s="68" t="s">
        <v>183</v>
      </c>
      <c r="AK21" s="67" t="s">
        <v>184</v>
      </c>
      <c r="AL21" s="68" t="s">
        <v>183</v>
      </c>
      <c r="AM21" s="67" t="s">
        <v>184</v>
      </c>
      <c r="AN21" s="68" t="s">
        <v>183</v>
      </c>
      <c r="AO21" s="67" t="s">
        <v>184</v>
      </c>
      <c r="AP21" s="68" t="s">
        <v>183</v>
      </c>
      <c r="AQ21" s="67" t="s">
        <v>184</v>
      </c>
      <c r="AR21" s="68" t="s">
        <v>183</v>
      </c>
      <c r="AS21" s="67" t="s">
        <v>184</v>
      </c>
      <c r="AT21" s="68" t="s">
        <v>183</v>
      </c>
      <c r="AU21" s="67" t="s">
        <v>184</v>
      </c>
      <c r="AV21" s="68" t="s">
        <v>183</v>
      </c>
      <c r="AW21" s="67" t="s">
        <v>184</v>
      </c>
    </row>
    <row r="22" spans="1:49">
      <c r="A22" s="66" t="s">
        <v>185</v>
      </c>
      <c r="B22" s="71">
        <v>32063</v>
      </c>
      <c r="C22" s="72">
        <v>13462</v>
      </c>
      <c r="D22" s="71">
        <v>31110</v>
      </c>
      <c r="E22" s="72">
        <v>14928</v>
      </c>
      <c r="F22" s="71">
        <v>32932</v>
      </c>
      <c r="G22" s="72">
        <v>15696</v>
      </c>
      <c r="H22" s="71">
        <v>36662</v>
      </c>
      <c r="I22" s="72">
        <v>21164</v>
      </c>
      <c r="J22" s="71">
        <v>36081</v>
      </c>
      <c r="K22" s="72">
        <v>20214</v>
      </c>
      <c r="L22" s="71">
        <v>40978</v>
      </c>
      <c r="M22" s="72">
        <v>20962</v>
      </c>
      <c r="N22" s="71">
        <v>17686</v>
      </c>
      <c r="O22" s="72">
        <v>11059</v>
      </c>
      <c r="P22" s="71">
        <v>17227</v>
      </c>
      <c r="Q22" s="72">
        <v>11235</v>
      </c>
      <c r="R22" s="71">
        <v>28354</v>
      </c>
      <c r="S22" s="72">
        <v>17239</v>
      </c>
      <c r="T22" s="71">
        <v>19740</v>
      </c>
      <c r="U22" s="72">
        <v>11947</v>
      </c>
      <c r="V22" s="71">
        <v>25211</v>
      </c>
      <c r="W22" s="72">
        <v>13542</v>
      </c>
      <c r="X22" s="71">
        <v>24098</v>
      </c>
      <c r="Y22" s="72">
        <v>14378</v>
      </c>
      <c r="Z22" s="71">
        <v>14097</v>
      </c>
      <c r="AA22" s="72">
        <v>9036</v>
      </c>
      <c r="AB22" s="71">
        <v>14250</v>
      </c>
      <c r="AC22" s="72">
        <v>9259</v>
      </c>
      <c r="AD22" s="71">
        <v>23177</v>
      </c>
      <c r="AE22" s="72">
        <v>13791</v>
      </c>
      <c r="AF22" s="71">
        <v>16259</v>
      </c>
      <c r="AG22" s="72">
        <v>9349</v>
      </c>
      <c r="AH22" s="71">
        <v>15009</v>
      </c>
      <c r="AI22" s="72">
        <v>9101</v>
      </c>
      <c r="AJ22" s="71">
        <v>23966</v>
      </c>
      <c r="AK22" s="72">
        <v>14147</v>
      </c>
      <c r="AL22" s="71">
        <v>16169</v>
      </c>
      <c r="AM22" s="72">
        <v>7896</v>
      </c>
      <c r="AN22" s="71">
        <v>13771</v>
      </c>
      <c r="AO22" s="72">
        <v>7531</v>
      </c>
      <c r="AP22" s="71">
        <v>17396</v>
      </c>
      <c r="AQ22" s="72">
        <v>9759</v>
      </c>
      <c r="AR22" s="71">
        <v>14305</v>
      </c>
      <c r="AS22" s="72">
        <v>8266</v>
      </c>
      <c r="AT22" s="71">
        <v>12479</v>
      </c>
      <c r="AU22" s="72">
        <v>7664</v>
      </c>
      <c r="AV22" s="71">
        <v>16631</v>
      </c>
      <c r="AW22" s="72">
        <v>8926</v>
      </c>
    </row>
    <row r="23" spans="1:49">
      <c r="A23" s="66" t="s">
        <v>186</v>
      </c>
      <c r="B23" s="71">
        <v>59342</v>
      </c>
      <c r="C23" s="72">
        <v>23208</v>
      </c>
      <c r="D23" s="71">
        <v>43630</v>
      </c>
      <c r="E23" s="72">
        <v>25511</v>
      </c>
      <c r="F23" s="71">
        <v>42681</v>
      </c>
      <c r="G23" s="72">
        <v>24791</v>
      </c>
      <c r="H23" s="71">
        <v>48289</v>
      </c>
      <c r="I23" s="72">
        <v>28544</v>
      </c>
      <c r="J23" s="71">
        <v>43752</v>
      </c>
      <c r="K23" s="72">
        <v>24110</v>
      </c>
      <c r="L23" s="71">
        <v>54515</v>
      </c>
      <c r="M23" s="72">
        <v>32809</v>
      </c>
      <c r="N23" s="71">
        <v>42948</v>
      </c>
      <c r="O23" s="72">
        <v>27186</v>
      </c>
      <c r="P23" s="71">
        <v>38805</v>
      </c>
      <c r="Q23" s="72">
        <v>23162</v>
      </c>
      <c r="R23" s="71">
        <v>36014</v>
      </c>
      <c r="S23" s="72">
        <v>23325</v>
      </c>
      <c r="T23" s="71">
        <v>45542</v>
      </c>
      <c r="U23" s="72">
        <v>22470</v>
      </c>
      <c r="V23" s="71">
        <v>22467</v>
      </c>
      <c r="W23" s="72">
        <v>13189</v>
      </c>
      <c r="X23" s="71">
        <v>32772</v>
      </c>
      <c r="Y23" s="72">
        <v>21440</v>
      </c>
      <c r="Z23" s="71">
        <v>31585</v>
      </c>
      <c r="AA23" s="72">
        <v>18864</v>
      </c>
      <c r="AB23" s="71">
        <v>33013</v>
      </c>
      <c r="AC23" s="72">
        <v>18491</v>
      </c>
      <c r="AD23" s="71">
        <v>31114</v>
      </c>
      <c r="AE23" s="72">
        <v>18061</v>
      </c>
      <c r="AF23" s="71">
        <v>32193</v>
      </c>
      <c r="AG23" s="72">
        <v>17645</v>
      </c>
      <c r="AH23" s="71">
        <v>34857</v>
      </c>
      <c r="AI23" s="72">
        <v>17568</v>
      </c>
      <c r="AJ23" s="71">
        <v>43229</v>
      </c>
      <c r="AK23" s="72">
        <v>23371</v>
      </c>
      <c r="AL23" s="71">
        <v>31444</v>
      </c>
      <c r="AM23" s="72">
        <v>15509</v>
      </c>
      <c r="AN23" s="71">
        <v>22437</v>
      </c>
      <c r="AO23" s="72">
        <v>13712</v>
      </c>
      <c r="AP23" s="71">
        <v>42609</v>
      </c>
      <c r="AQ23" s="72">
        <v>22402</v>
      </c>
      <c r="AR23" s="71">
        <v>16430</v>
      </c>
      <c r="AS23" s="72">
        <v>9892</v>
      </c>
      <c r="AT23" s="71">
        <v>14761</v>
      </c>
      <c r="AU23" s="72">
        <v>8086</v>
      </c>
      <c r="AV23" s="71">
        <v>23040</v>
      </c>
      <c r="AW23" s="72">
        <v>12292</v>
      </c>
    </row>
    <row r="24" spans="1:49">
      <c r="A24" s="66" t="s">
        <v>187</v>
      </c>
      <c r="B24" s="71">
        <v>24800</v>
      </c>
      <c r="C24" s="72">
        <v>13583</v>
      </c>
      <c r="D24" s="71">
        <v>39359</v>
      </c>
      <c r="E24" s="72">
        <v>26439</v>
      </c>
      <c r="F24" s="71">
        <v>49810</v>
      </c>
      <c r="G24" s="72">
        <v>27592</v>
      </c>
      <c r="H24" s="71">
        <v>41504</v>
      </c>
      <c r="I24" s="72">
        <v>31799</v>
      </c>
      <c r="J24" s="71">
        <v>38352</v>
      </c>
      <c r="K24" s="72">
        <v>30183</v>
      </c>
      <c r="L24" s="71">
        <v>38381</v>
      </c>
      <c r="M24" s="72">
        <v>31074</v>
      </c>
      <c r="N24" s="71">
        <v>49740</v>
      </c>
      <c r="O24" s="72">
        <v>40309</v>
      </c>
      <c r="P24" s="71">
        <v>49378</v>
      </c>
      <c r="Q24" s="72">
        <v>41231</v>
      </c>
      <c r="R24" s="71">
        <v>34105</v>
      </c>
      <c r="S24" s="72">
        <v>27634</v>
      </c>
      <c r="T24" s="71">
        <v>42352</v>
      </c>
      <c r="U24" s="72">
        <v>30340</v>
      </c>
      <c r="V24" s="71">
        <v>39048</v>
      </c>
      <c r="W24" s="72">
        <v>29121</v>
      </c>
      <c r="X24" s="71">
        <v>41697</v>
      </c>
      <c r="Y24" s="72">
        <v>30817</v>
      </c>
      <c r="Z24" s="71">
        <v>39563</v>
      </c>
      <c r="AA24" s="72">
        <v>31094</v>
      </c>
      <c r="AB24" s="71">
        <v>41751</v>
      </c>
      <c r="AC24" s="72">
        <v>32907</v>
      </c>
      <c r="AD24" s="71">
        <v>37731</v>
      </c>
      <c r="AE24" s="72">
        <v>29037</v>
      </c>
      <c r="AF24" s="71">
        <v>36244</v>
      </c>
      <c r="AG24" s="72">
        <v>27033</v>
      </c>
      <c r="AH24" s="71">
        <v>39648</v>
      </c>
      <c r="AI24" s="72">
        <v>29222</v>
      </c>
      <c r="AJ24" s="71">
        <v>44962</v>
      </c>
      <c r="AK24" s="72">
        <v>32087</v>
      </c>
      <c r="AL24" s="71">
        <v>52510</v>
      </c>
      <c r="AM24" s="72">
        <v>35557</v>
      </c>
      <c r="AN24" s="71">
        <v>60008</v>
      </c>
      <c r="AO24" s="72">
        <v>42536</v>
      </c>
      <c r="AP24" s="71">
        <v>39490</v>
      </c>
      <c r="AQ24" s="72">
        <v>28357</v>
      </c>
      <c r="AR24" s="71">
        <v>48550</v>
      </c>
      <c r="AS24" s="72">
        <v>34780</v>
      </c>
      <c r="AT24" s="71">
        <v>48290</v>
      </c>
      <c r="AU24" s="72">
        <v>35894</v>
      </c>
      <c r="AV24" s="71">
        <v>55533</v>
      </c>
      <c r="AW24" s="72">
        <v>38651</v>
      </c>
    </row>
    <row r="25" spans="1:49">
      <c r="A25" s="66" t="s">
        <v>188</v>
      </c>
      <c r="B25" s="71">
        <v>22107</v>
      </c>
      <c r="C25" s="72">
        <v>14486</v>
      </c>
      <c r="D25" s="71">
        <v>26646</v>
      </c>
      <c r="E25" s="72">
        <v>14346</v>
      </c>
      <c r="F25" s="71">
        <v>41011</v>
      </c>
      <c r="G25" s="72">
        <v>20090</v>
      </c>
      <c r="H25" s="71">
        <v>35148</v>
      </c>
      <c r="I25" s="72">
        <v>25870</v>
      </c>
      <c r="J25" s="71">
        <v>29157</v>
      </c>
      <c r="K25" s="72">
        <v>23268</v>
      </c>
      <c r="L25" s="71">
        <v>32057</v>
      </c>
      <c r="M25" s="72">
        <v>22615</v>
      </c>
      <c r="N25" s="71">
        <v>33861</v>
      </c>
      <c r="O25" s="72">
        <v>26276</v>
      </c>
      <c r="P25" s="71">
        <v>40249</v>
      </c>
      <c r="Q25" s="72">
        <v>31028</v>
      </c>
      <c r="R25" s="71">
        <v>36367</v>
      </c>
      <c r="S25" s="72">
        <v>26215</v>
      </c>
      <c r="T25" s="71">
        <v>30127</v>
      </c>
      <c r="U25" s="72">
        <v>20598</v>
      </c>
      <c r="V25" s="71">
        <v>27334</v>
      </c>
      <c r="W25" s="72">
        <v>20830</v>
      </c>
      <c r="X25" s="71">
        <v>27931</v>
      </c>
      <c r="Y25" s="72">
        <v>20426</v>
      </c>
      <c r="Z25" s="71">
        <v>35950</v>
      </c>
      <c r="AA25" s="72">
        <v>27926</v>
      </c>
      <c r="AB25" s="71">
        <v>37511</v>
      </c>
      <c r="AC25" s="72">
        <v>27035</v>
      </c>
      <c r="AD25" s="71">
        <v>29298</v>
      </c>
      <c r="AE25" s="72">
        <v>22575</v>
      </c>
      <c r="AF25" s="71">
        <v>26573</v>
      </c>
      <c r="AG25" s="72">
        <v>19655</v>
      </c>
      <c r="AH25" s="71">
        <v>28400</v>
      </c>
      <c r="AI25" s="72">
        <v>21353</v>
      </c>
      <c r="AJ25" s="71">
        <v>28989</v>
      </c>
      <c r="AK25" s="72">
        <v>21437</v>
      </c>
      <c r="AL25" s="71">
        <v>31988</v>
      </c>
      <c r="AM25" s="72">
        <v>20692</v>
      </c>
      <c r="AN25" s="71">
        <v>35785</v>
      </c>
      <c r="AO25" s="72">
        <v>24558</v>
      </c>
      <c r="AP25" s="71">
        <v>27263</v>
      </c>
      <c r="AQ25" s="72">
        <v>17950</v>
      </c>
      <c r="AR25" s="71">
        <v>31200</v>
      </c>
      <c r="AS25" s="72">
        <v>19271</v>
      </c>
      <c r="AT25" s="71">
        <v>32740</v>
      </c>
      <c r="AU25" s="72">
        <v>21847</v>
      </c>
      <c r="AV25" s="71">
        <v>39732</v>
      </c>
      <c r="AW25" s="72">
        <v>25540</v>
      </c>
    </row>
    <row r="26" spans="1:49">
      <c r="A26" s="66" t="s">
        <v>189</v>
      </c>
      <c r="B26" s="71">
        <v>11409</v>
      </c>
      <c r="C26" s="72">
        <v>7908</v>
      </c>
      <c r="D26" s="71">
        <v>13473</v>
      </c>
      <c r="E26" s="72">
        <v>7906</v>
      </c>
      <c r="F26" s="71">
        <v>15110</v>
      </c>
      <c r="G26" s="72">
        <v>7950</v>
      </c>
      <c r="H26" s="71">
        <v>9630</v>
      </c>
      <c r="I26" s="72">
        <v>7455</v>
      </c>
      <c r="J26" s="71">
        <v>9194</v>
      </c>
      <c r="K26" s="72">
        <v>7280</v>
      </c>
      <c r="L26" s="71">
        <v>7838</v>
      </c>
      <c r="M26" s="72">
        <v>6149</v>
      </c>
      <c r="N26" s="71">
        <v>8943</v>
      </c>
      <c r="O26" s="72">
        <v>7846</v>
      </c>
      <c r="P26" s="71">
        <v>11540</v>
      </c>
      <c r="Q26" s="72">
        <v>9210</v>
      </c>
      <c r="R26" s="71">
        <v>7472</v>
      </c>
      <c r="S26" s="72">
        <v>5945</v>
      </c>
      <c r="T26" s="71">
        <v>8632</v>
      </c>
      <c r="U26" s="72">
        <v>6009</v>
      </c>
      <c r="V26" s="71">
        <v>10225</v>
      </c>
      <c r="W26" s="72">
        <v>6983</v>
      </c>
      <c r="X26" s="71">
        <v>7387</v>
      </c>
      <c r="Y26" s="72">
        <v>5791</v>
      </c>
      <c r="Z26" s="71">
        <v>11246</v>
      </c>
      <c r="AA26" s="72">
        <v>8619</v>
      </c>
      <c r="AB26" s="71">
        <v>12501</v>
      </c>
      <c r="AC26" s="72">
        <v>9525</v>
      </c>
      <c r="AD26" s="71">
        <v>6603</v>
      </c>
      <c r="AE26" s="72">
        <v>5117</v>
      </c>
      <c r="AF26" s="71">
        <v>9617</v>
      </c>
      <c r="AG26" s="72">
        <v>7594</v>
      </c>
      <c r="AH26" s="71">
        <v>7594</v>
      </c>
      <c r="AI26" s="72">
        <v>6104</v>
      </c>
      <c r="AJ26" s="71">
        <v>6539</v>
      </c>
      <c r="AK26" s="72">
        <v>5205</v>
      </c>
      <c r="AL26" s="71">
        <v>10592</v>
      </c>
      <c r="AM26" s="72">
        <v>7319</v>
      </c>
      <c r="AN26" s="71">
        <v>11383</v>
      </c>
      <c r="AO26" s="72">
        <v>7892</v>
      </c>
      <c r="AP26" s="71">
        <v>7576</v>
      </c>
      <c r="AQ26" s="72">
        <v>5405</v>
      </c>
      <c r="AR26" s="71">
        <v>9945</v>
      </c>
      <c r="AS26" s="72">
        <v>7229</v>
      </c>
      <c r="AT26" s="71">
        <v>11332</v>
      </c>
      <c r="AU26" s="72">
        <v>8229</v>
      </c>
      <c r="AV26" s="71">
        <v>13605</v>
      </c>
      <c r="AW26" s="72">
        <v>9297</v>
      </c>
    </row>
    <row r="27" spans="1:49">
      <c r="A27" s="66" t="s">
        <v>190</v>
      </c>
      <c r="B27" s="71">
        <v>3512</v>
      </c>
      <c r="C27" s="72">
        <v>2073</v>
      </c>
      <c r="D27" s="71">
        <v>3626</v>
      </c>
      <c r="E27" s="72">
        <v>2041</v>
      </c>
      <c r="F27" s="71">
        <v>3454</v>
      </c>
      <c r="G27" s="72">
        <v>2070</v>
      </c>
      <c r="H27" s="71">
        <v>3077</v>
      </c>
      <c r="I27" s="72">
        <v>1928</v>
      </c>
      <c r="J27" s="71">
        <v>3061</v>
      </c>
      <c r="K27" s="72">
        <v>2109</v>
      </c>
      <c r="L27" s="71">
        <v>3445</v>
      </c>
      <c r="M27" s="72">
        <v>2229</v>
      </c>
      <c r="N27" s="71">
        <v>3147</v>
      </c>
      <c r="O27" s="72">
        <v>2137</v>
      </c>
      <c r="P27" s="71">
        <v>3774</v>
      </c>
      <c r="Q27" s="72">
        <v>2317</v>
      </c>
      <c r="R27" s="71">
        <v>3679</v>
      </c>
      <c r="S27" s="72">
        <v>2401</v>
      </c>
      <c r="T27" s="71">
        <v>3485</v>
      </c>
      <c r="U27" s="72">
        <v>2219</v>
      </c>
      <c r="V27" s="71">
        <v>3803</v>
      </c>
      <c r="W27" s="72">
        <v>2699</v>
      </c>
      <c r="X27" s="71">
        <v>3784</v>
      </c>
      <c r="Y27" s="72">
        <v>2417</v>
      </c>
      <c r="Z27" s="71">
        <v>3469</v>
      </c>
      <c r="AA27" s="72">
        <v>2428</v>
      </c>
      <c r="AB27" s="71">
        <v>3528</v>
      </c>
      <c r="AC27" s="72">
        <v>2179</v>
      </c>
      <c r="AD27" s="71">
        <v>3191</v>
      </c>
      <c r="AE27" s="72">
        <v>2189</v>
      </c>
      <c r="AF27" s="71">
        <v>3184</v>
      </c>
      <c r="AG27" s="72">
        <v>2286</v>
      </c>
      <c r="AH27" s="71">
        <v>3374</v>
      </c>
      <c r="AI27" s="72">
        <v>2390</v>
      </c>
      <c r="AJ27" s="71">
        <v>3404</v>
      </c>
      <c r="AK27" s="72">
        <v>2253</v>
      </c>
      <c r="AL27" s="71">
        <v>3345</v>
      </c>
      <c r="AM27" s="72">
        <v>2062</v>
      </c>
      <c r="AN27" s="71">
        <v>3336</v>
      </c>
      <c r="AO27" s="72">
        <v>1951</v>
      </c>
      <c r="AP27" s="71">
        <v>3322</v>
      </c>
      <c r="AQ27" s="72">
        <v>2068</v>
      </c>
      <c r="AR27" s="71">
        <v>3195</v>
      </c>
      <c r="AS27" s="72">
        <v>2123</v>
      </c>
      <c r="AT27" s="71">
        <v>3456</v>
      </c>
      <c r="AU27" s="72">
        <v>2140</v>
      </c>
      <c r="AV27" s="71">
        <v>4342</v>
      </c>
      <c r="AW27" s="72">
        <v>2348</v>
      </c>
    </row>
    <row r="28" spans="1:49" ht="17.45" thickBot="1">
      <c r="A28" s="82" t="s">
        <v>191</v>
      </c>
      <c r="B28" s="79">
        <v>126916</v>
      </c>
      <c r="C28" s="80">
        <v>82219</v>
      </c>
      <c r="D28" s="79">
        <v>153920</v>
      </c>
      <c r="E28" s="80">
        <v>99071</v>
      </c>
      <c r="F28" s="79">
        <v>175723</v>
      </c>
      <c r="G28" s="80">
        <v>103849</v>
      </c>
      <c r="H28" s="79">
        <v>171310</v>
      </c>
      <c r="I28" s="80">
        <v>125687</v>
      </c>
      <c r="J28" s="79">
        <v>166862</v>
      </c>
      <c r="K28" s="80">
        <v>118091</v>
      </c>
      <c r="L28" s="79">
        <v>189256</v>
      </c>
      <c r="M28" s="80">
        <v>127562</v>
      </c>
      <c r="N28" s="79">
        <v>165182</v>
      </c>
      <c r="O28" s="80">
        <v>123723</v>
      </c>
      <c r="P28" s="79">
        <v>156275</v>
      </c>
      <c r="Q28" s="80">
        <v>127782</v>
      </c>
      <c r="R28" s="79">
        <v>149562</v>
      </c>
      <c r="S28" s="80">
        <v>114136</v>
      </c>
      <c r="T28" s="79">
        <v>158023</v>
      </c>
      <c r="U28" s="80">
        <v>103826</v>
      </c>
      <c r="V28" s="79">
        <v>131547</v>
      </c>
      <c r="W28" s="80">
        <v>95740</v>
      </c>
      <c r="X28" s="79">
        <v>143016</v>
      </c>
      <c r="Y28" s="80">
        <v>105873</v>
      </c>
      <c r="Z28" s="79">
        <v>136723</v>
      </c>
      <c r="AA28" s="80">
        <v>111423</v>
      </c>
      <c r="AB28" s="79">
        <v>153212</v>
      </c>
      <c r="AC28" s="80">
        <v>114224</v>
      </c>
      <c r="AD28" s="79">
        <v>131468</v>
      </c>
      <c r="AE28" s="80">
        <v>99423</v>
      </c>
      <c r="AF28" s="79">
        <v>132828</v>
      </c>
      <c r="AG28" s="80">
        <v>94244</v>
      </c>
      <c r="AH28" s="79">
        <v>138072</v>
      </c>
      <c r="AI28" s="80">
        <v>97442</v>
      </c>
      <c r="AJ28" s="79">
        <v>150730</v>
      </c>
      <c r="AK28" s="80">
        <v>111752</v>
      </c>
      <c r="AL28" s="79">
        <v>144127</v>
      </c>
      <c r="AM28" s="80">
        <v>97066</v>
      </c>
      <c r="AN28" s="79">
        <v>155256</v>
      </c>
      <c r="AO28" s="80">
        <v>108057</v>
      </c>
      <c r="AP28" s="79">
        <v>148106</v>
      </c>
      <c r="AQ28" s="80">
        <v>97654</v>
      </c>
      <c r="AR28" s="79">
        <v>132403</v>
      </c>
      <c r="AS28" s="80">
        <v>94626</v>
      </c>
      <c r="AT28" s="79">
        <v>134343</v>
      </c>
      <c r="AU28" s="80">
        <v>98455</v>
      </c>
      <c r="AV28" s="79">
        <v>165591</v>
      </c>
      <c r="AW28" s="80">
        <v>113835</v>
      </c>
    </row>
    <row r="29" spans="1:49" ht="33.950000000000003">
      <c r="A29" s="92" t="s">
        <v>248</v>
      </c>
      <c r="B29" s="154">
        <v>996712</v>
      </c>
      <c r="C29" s="155"/>
      <c r="D29" s="158">
        <v>1225729</v>
      </c>
      <c r="E29" s="155"/>
      <c r="F29" s="158">
        <v>1157351</v>
      </c>
      <c r="G29" s="155"/>
      <c r="H29" s="158">
        <v>865169</v>
      </c>
      <c r="I29" s="155"/>
      <c r="J29" s="158">
        <v>1091156</v>
      </c>
      <c r="K29" s="155"/>
      <c r="L29" s="158">
        <v>1022495</v>
      </c>
      <c r="M29" s="155"/>
      <c r="N29" s="158">
        <v>1016189</v>
      </c>
      <c r="O29" s="155"/>
      <c r="P29" s="158">
        <v>931828</v>
      </c>
      <c r="Q29" s="155"/>
      <c r="R29" s="158">
        <v>897280</v>
      </c>
      <c r="S29" s="155"/>
      <c r="T29" s="158">
        <v>857333</v>
      </c>
      <c r="U29" s="155"/>
      <c r="V29" s="158">
        <v>858429</v>
      </c>
      <c r="W29" s="155"/>
      <c r="X29" s="158">
        <v>835268</v>
      </c>
      <c r="Y29" s="155"/>
      <c r="Z29" s="158">
        <v>875375</v>
      </c>
      <c r="AA29" s="155"/>
      <c r="AB29" s="158">
        <v>793169</v>
      </c>
      <c r="AC29" s="155"/>
      <c r="AD29" s="158">
        <v>834906</v>
      </c>
      <c r="AE29" s="155"/>
      <c r="AF29" s="158">
        <v>784854</v>
      </c>
      <c r="AG29" s="155"/>
      <c r="AH29" s="158">
        <v>784549</v>
      </c>
      <c r="AI29" s="155"/>
      <c r="AJ29" s="158">
        <v>801325</v>
      </c>
      <c r="AK29" s="155"/>
      <c r="AL29" s="158">
        <v>932904</v>
      </c>
      <c r="AM29" s="155"/>
      <c r="AN29" s="158">
        <v>880575</v>
      </c>
      <c r="AO29" s="155"/>
      <c r="AP29" s="158">
        <v>762153</v>
      </c>
      <c r="AQ29" s="155"/>
      <c r="AR29" s="158">
        <v>931069</v>
      </c>
      <c r="AS29" s="155"/>
      <c r="AT29" s="158">
        <v>869704</v>
      </c>
      <c r="AU29" s="155"/>
      <c r="AV29" s="158">
        <v>956839</v>
      </c>
      <c r="AW29" s="168"/>
    </row>
    <row r="30" spans="1:49" ht="17.45" thickBot="1">
      <c r="A30" s="84" t="s">
        <v>193</v>
      </c>
      <c r="B30" s="156"/>
      <c r="C30" s="194"/>
      <c r="D30" s="157"/>
      <c r="E30" s="194"/>
      <c r="F30" s="157"/>
      <c r="G30" s="194"/>
      <c r="H30" s="157"/>
      <c r="I30" s="194"/>
      <c r="J30" s="157"/>
      <c r="K30" s="194"/>
      <c r="L30" s="157"/>
      <c r="M30" s="194"/>
      <c r="N30" s="157"/>
      <c r="O30" s="194"/>
      <c r="P30" s="157"/>
      <c r="Q30" s="194"/>
      <c r="R30" s="157"/>
      <c r="S30" s="194"/>
      <c r="T30" s="157"/>
      <c r="U30" s="194"/>
      <c r="V30" s="157"/>
      <c r="W30" s="194"/>
      <c r="X30" s="157"/>
      <c r="Y30" s="194"/>
      <c r="Z30" s="157"/>
      <c r="AA30" s="194"/>
      <c r="AB30" s="157"/>
      <c r="AC30" s="194"/>
      <c r="AD30" s="157"/>
      <c r="AE30" s="194"/>
      <c r="AF30" s="157"/>
      <c r="AG30" s="194"/>
      <c r="AH30" s="157"/>
      <c r="AI30" s="194"/>
      <c r="AJ30" s="157"/>
      <c r="AK30" s="194"/>
      <c r="AL30" s="157"/>
      <c r="AM30" s="194"/>
      <c r="AN30" s="157"/>
      <c r="AO30" s="194"/>
      <c r="AP30" s="157"/>
      <c r="AQ30" s="194"/>
      <c r="AR30" s="157"/>
      <c r="AS30" s="194"/>
      <c r="AT30" s="157"/>
      <c r="AU30" s="194"/>
      <c r="AV30" s="157"/>
      <c r="AW30" s="195"/>
    </row>
    <row r="31" spans="1:49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</row>
    <row r="32" spans="1:49" ht="17.45" thickBot="1"/>
    <row r="33" spans="1:35">
      <c r="A33" s="70"/>
      <c r="B33" s="180">
        <v>44866</v>
      </c>
      <c r="C33" s="151"/>
      <c r="D33" s="180">
        <v>44867</v>
      </c>
      <c r="E33" s="151"/>
      <c r="F33" s="180">
        <v>44868</v>
      </c>
      <c r="G33" s="151"/>
      <c r="H33" s="180">
        <v>44870</v>
      </c>
      <c r="I33" s="151"/>
      <c r="J33" s="180">
        <v>44871</v>
      </c>
      <c r="K33" s="151"/>
      <c r="L33" s="180">
        <v>44872</v>
      </c>
      <c r="M33" s="151"/>
      <c r="N33" s="180">
        <v>44873</v>
      </c>
      <c r="O33" s="151"/>
      <c r="P33" s="180">
        <v>44874</v>
      </c>
      <c r="Q33" s="151"/>
      <c r="R33" s="180">
        <v>44875</v>
      </c>
      <c r="S33" s="151"/>
      <c r="T33" s="180">
        <v>44876</v>
      </c>
      <c r="U33" s="151"/>
      <c r="V33" s="180">
        <v>44877</v>
      </c>
      <c r="W33" s="151"/>
      <c r="X33" s="180">
        <v>44878</v>
      </c>
      <c r="Y33" s="151"/>
      <c r="Z33" s="180">
        <v>44879</v>
      </c>
      <c r="AA33" s="151"/>
      <c r="AB33" s="180">
        <v>44882</v>
      </c>
      <c r="AC33" s="151"/>
      <c r="AD33" s="180">
        <v>44883</v>
      </c>
      <c r="AE33" s="151"/>
      <c r="AF33" s="180">
        <v>44884</v>
      </c>
      <c r="AG33" s="151"/>
      <c r="AH33" s="180">
        <v>44885</v>
      </c>
      <c r="AI33" s="151"/>
    </row>
    <row r="34" spans="1:35">
      <c r="A34" s="69"/>
      <c r="B34" s="152" t="s">
        <v>249</v>
      </c>
      <c r="C34" s="153"/>
      <c r="D34" s="152" t="s">
        <v>249</v>
      </c>
      <c r="E34" s="153"/>
      <c r="F34" s="152" t="s">
        <v>249</v>
      </c>
      <c r="G34" s="153"/>
      <c r="H34" s="152" t="s">
        <v>249</v>
      </c>
      <c r="I34" s="153"/>
      <c r="J34" s="152" t="s">
        <v>249</v>
      </c>
      <c r="K34" s="153"/>
      <c r="L34" s="152" t="s">
        <v>249</v>
      </c>
      <c r="M34" s="153"/>
      <c r="N34" s="152" t="s">
        <v>249</v>
      </c>
      <c r="O34" s="153"/>
      <c r="P34" s="152" t="s">
        <v>249</v>
      </c>
      <c r="Q34" s="153"/>
      <c r="R34" s="152" t="s">
        <v>249</v>
      </c>
      <c r="S34" s="153"/>
      <c r="T34" s="152" t="s">
        <v>249</v>
      </c>
      <c r="U34" s="153"/>
      <c r="V34" s="152" t="s">
        <v>249</v>
      </c>
      <c r="W34" s="153"/>
      <c r="X34" s="152" t="s">
        <v>249</v>
      </c>
      <c r="Y34" s="153"/>
      <c r="Z34" s="152" t="s">
        <v>249</v>
      </c>
      <c r="AA34" s="153"/>
      <c r="AB34" s="152" t="s">
        <v>249</v>
      </c>
      <c r="AC34" s="153"/>
      <c r="AD34" s="152" t="s">
        <v>249</v>
      </c>
      <c r="AE34" s="153"/>
      <c r="AF34" s="152" t="s">
        <v>249</v>
      </c>
      <c r="AG34" s="153"/>
      <c r="AH34" s="152" t="s">
        <v>249</v>
      </c>
      <c r="AI34" s="153"/>
    </row>
    <row r="35" spans="1:35">
      <c r="A35" s="69"/>
      <c r="B35" s="152" t="s">
        <v>169</v>
      </c>
      <c r="C35" s="153"/>
      <c r="D35" s="152" t="s">
        <v>170</v>
      </c>
      <c r="E35" s="153"/>
      <c r="F35" s="152" t="s">
        <v>171</v>
      </c>
      <c r="G35" s="153"/>
      <c r="H35" s="152" t="s">
        <v>172</v>
      </c>
      <c r="I35" s="153"/>
      <c r="J35" s="152" t="s">
        <v>173</v>
      </c>
      <c r="K35" s="153"/>
      <c r="L35" s="152" t="s">
        <v>174</v>
      </c>
      <c r="M35" s="153"/>
      <c r="N35" s="152" t="s">
        <v>175</v>
      </c>
      <c r="O35" s="153"/>
      <c r="P35" s="152" t="s">
        <v>176</v>
      </c>
      <c r="Q35" s="153"/>
      <c r="R35" s="152" t="s">
        <v>177</v>
      </c>
      <c r="S35" s="153"/>
      <c r="T35" s="152" t="s">
        <v>178</v>
      </c>
      <c r="U35" s="153"/>
      <c r="V35" s="152" t="s">
        <v>208</v>
      </c>
      <c r="W35" s="153"/>
      <c r="X35" s="152" t="s">
        <v>209</v>
      </c>
      <c r="Y35" s="153"/>
      <c r="Z35" s="152" t="s">
        <v>210</v>
      </c>
      <c r="AA35" s="153"/>
      <c r="AB35" s="152" t="s">
        <v>211</v>
      </c>
      <c r="AC35" s="153"/>
      <c r="AD35" s="152" t="s">
        <v>233</v>
      </c>
      <c r="AE35" s="153"/>
      <c r="AF35" s="152" t="s">
        <v>234</v>
      </c>
      <c r="AG35" s="153"/>
      <c r="AH35" s="152" t="s">
        <v>235</v>
      </c>
      <c r="AI35" s="153"/>
    </row>
    <row r="36" spans="1:35">
      <c r="A36" s="69"/>
      <c r="B36" s="152" t="s">
        <v>250</v>
      </c>
      <c r="C36" s="153"/>
      <c r="D36" s="152" t="s">
        <v>251</v>
      </c>
      <c r="E36" s="153"/>
      <c r="F36" s="152" t="s">
        <v>250</v>
      </c>
      <c r="G36" s="153"/>
      <c r="H36" s="152" t="s">
        <v>250</v>
      </c>
      <c r="I36" s="153"/>
      <c r="J36" s="152" t="s">
        <v>251</v>
      </c>
      <c r="K36" s="153"/>
      <c r="L36" s="152" t="s">
        <v>251</v>
      </c>
      <c r="M36" s="153"/>
      <c r="N36" s="152" t="s">
        <v>195</v>
      </c>
      <c r="O36" s="153"/>
      <c r="P36" s="152" t="s">
        <v>195</v>
      </c>
      <c r="Q36" s="153"/>
      <c r="R36" s="152" t="s">
        <v>252</v>
      </c>
      <c r="S36" s="153"/>
      <c r="T36" s="152" t="s">
        <v>252</v>
      </c>
      <c r="U36" s="153"/>
      <c r="V36" s="152" t="s">
        <v>253</v>
      </c>
      <c r="W36" s="153"/>
      <c r="X36" s="152" t="s">
        <v>253</v>
      </c>
      <c r="Y36" s="153"/>
      <c r="Z36" s="152" t="s">
        <v>247</v>
      </c>
      <c r="AA36" s="153"/>
      <c r="AB36" s="152" t="s">
        <v>181</v>
      </c>
      <c r="AC36" s="153"/>
      <c r="AD36" s="152" t="s">
        <v>181</v>
      </c>
      <c r="AE36" s="153"/>
      <c r="AF36" s="152" t="s">
        <v>181</v>
      </c>
      <c r="AG36" s="153"/>
      <c r="AH36" s="152" t="s">
        <v>181</v>
      </c>
      <c r="AI36" s="153"/>
    </row>
    <row r="37" spans="1:35">
      <c r="A37" s="65" t="s">
        <v>182</v>
      </c>
      <c r="B37" s="68" t="s">
        <v>183</v>
      </c>
      <c r="C37" s="67" t="s">
        <v>184</v>
      </c>
      <c r="D37" s="68" t="s">
        <v>183</v>
      </c>
      <c r="E37" s="67" t="s">
        <v>184</v>
      </c>
      <c r="F37" s="68" t="s">
        <v>183</v>
      </c>
      <c r="G37" s="67" t="s">
        <v>184</v>
      </c>
      <c r="H37" s="68" t="s">
        <v>183</v>
      </c>
      <c r="I37" s="67" t="s">
        <v>184</v>
      </c>
      <c r="J37" s="68" t="s">
        <v>183</v>
      </c>
      <c r="K37" s="67" t="s">
        <v>184</v>
      </c>
      <c r="L37" s="68" t="s">
        <v>183</v>
      </c>
      <c r="M37" s="67" t="s">
        <v>184</v>
      </c>
      <c r="N37" s="68" t="s">
        <v>183</v>
      </c>
      <c r="O37" s="67" t="s">
        <v>184</v>
      </c>
      <c r="P37" s="68" t="s">
        <v>183</v>
      </c>
      <c r="Q37" s="67" t="s">
        <v>184</v>
      </c>
      <c r="R37" s="68" t="s">
        <v>183</v>
      </c>
      <c r="S37" s="67" t="s">
        <v>184</v>
      </c>
      <c r="T37" s="68" t="s">
        <v>183</v>
      </c>
      <c r="U37" s="67" t="s">
        <v>184</v>
      </c>
      <c r="V37" s="68" t="s">
        <v>183</v>
      </c>
      <c r="W37" s="67" t="s">
        <v>184</v>
      </c>
      <c r="X37" s="68" t="s">
        <v>183</v>
      </c>
      <c r="Y37" s="67" t="s">
        <v>184</v>
      </c>
      <c r="Z37" s="68" t="s">
        <v>183</v>
      </c>
      <c r="AA37" s="67" t="s">
        <v>184</v>
      </c>
      <c r="AB37" s="68" t="s">
        <v>183</v>
      </c>
      <c r="AC37" s="67" t="s">
        <v>184</v>
      </c>
      <c r="AD37" s="68" t="s">
        <v>183</v>
      </c>
      <c r="AE37" s="67" t="s">
        <v>184</v>
      </c>
      <c r="AF37" s="68" t="s">
        <v>183</v>
      </c>
      <c r="AG37" s="67" t="s">
        <v>184</v>
      </c>
      <c r="AH37" s="68" t="s">
        <v>183</v>
      </c>
      <c r="AI37" s="67" t="s">
        <v>184</v>
      </c>
    </row>
    <row r="38" spans="1:35">
      <c r="A38" s="66" t="s">
        <v>185</v>
      </c>
      <c r="B38" s="71">
        <v>26704</v>
      </c>
      <c r="C38" s="72">
        <v>17639</v>
      </c>
      <c r="D38" s="71">
        <v>25407</v>
      </c>
      <c r="E38" s="72">
        <v>16194</v>
      </c>
      <c r="F38" s="71">
        <v>31389</v>
      </c>
      <c r="G38" s="72">
        <v>18272</v>
      </c>
      <c r="H38" s="71">
        <v>39022</v>
      </c>
      <c r="I38" s="72">
        <v>23474</v>
      </c>
      <c r="J38" s="71">
        <v>30702</v>
      </c>
      <c r="K38" s="72">
        <v>18826</v>
      </c>
      <c r="L38" s="71">
        <v>31142</v>
      </c>
      <c r="M38" s="72">
        <v>19619</v>
      </c>
      <c r="N38" s="71">
        <v>47951</v>
      </c>
      <c r="O38" s="72">
        <v>30412</v>
      </c>
      <c r="P38" s="71">
        <v>47931</v>
      </c>
      <c r="Q38" s="72">
        <v>26782</v>
      </c>
      <c r="R38" s="71">
        <v>42738</v>
      </c>
      <c r="S38" s="72">
        <v>22907</v>
      </c>
      <c r="T38" s="71">
        <v>38967</v>
      </c>
      <c r="U38" s="72">
        <v>24820</v>
      </c>
      <c r="V38" s="71">
        <v>41972</v>
      </c>
      <c r="W38" s="72">
        <v>29730</v>
      </c>
      <c r="X38" s="71">
        <v>45849</v>
      </c>
      <c r="Y38" s="72">
        <v>25422</v>
      </c>
      <c r="Z38" s="71">
        <v>54936</v>
      </c>
      <c r="AA38" s="72">
        <v>28558</v>
      </c>
      <c r="AB38" s="71">
        <v>54753</v>
      </c>
      <c r="AC38" s="72">
        <v>33610</v>
      </c>
      <c r="AD38" s="71">
        <v>58444</v>
      </c>
      <c r="AE38" s="72">
        <v>31807</v>
      </c>
      <c r="AF38" s="71">
        <v>67605</v>
      </c>
      <c r="AG38" s="72">
        <v>39883</v>
      </c>
      <c r="AH38" s="71">
        <v>63366</v>
      </c>
      <c r="AI38" s="72">
        <v>42560</v>
      </c>
    </row>
    <row r="39" spans="1:35">
      <c r="A39" s="66" t="s">
        <v>186</v>
      </c>
      <c r="B39" s="71">
        <v>37242</v>
      </c>
      <c r="C39" s="72">
        <v>24318</v>
      </c>
      <c r="D39" s="71">
        <v>45361</v>
      </c>
      <c r="E39" s="72">
        <v>29557</v>
      </c>
      <c r="F39" s="71">
        <v>35310</v>
      </c>
      <c r="G39" s="72">
        <v>19478</v>
      </c>
      <c r="H39" s="71">
        <v>33518</v>
      </c>
      <c r="I39" s="72">
        <v>18915</v>
      </c>
      <c r="J39" s="71">
        <v>41757</v>
      </c>
      <c r="K39" s="72">
        <v>26604</v>
      </c>
      <c r="L39" s="71">
        <v>36974</v>
      </c>
      <c r="M39" s="72">
        <v>24368</v>
      </c>
      <c r="N39" s="71">
        <v>35940</v>
      </c>
      <c r="O39" s="72">
        <v>25402</v>
      </c>
      <c r="P39" s="71">
        <v>46131</v>
      </c>
      <c r="Q39" s="72">
        <v>31103</v>
      </c>
      <c r="R39" s="71">
        <v>43174</v>
      </c>
      <c r="S39" s="72">
        <v>27558</v>
      </c>
      <c r="T39" s="71">
        <v>44338</v>
      </c>
      <c r="U39" s="72">
        <v>27720</v>
      </c>
      <c r="V39" s="71">
        <v>36500</v>
      </c>
      <c r="W39" s="72">
        <v>25121</v>
      </c>
      <c r="X39" s="71">
        <v>37379</v>
      </c>
      <c r="Y39" s="72">
        <v>23990</v>
      </c>
      <c r="Z39" s="71">
        <v>49813</v>
      </c>
      <c r="AA39" s="72">
        <v>28571</v>
      </c>
      <c r="AB39" s="71">
        <v>50711</v>
      </c>
      <c r="AC39" s="72">
        <v>30169</v>
      </c>
      <c r="AD39" s="71">
        <v>41541</v>
      </c>
      <c r="AE39" s="72">
        <v>27065</v>
      </c>
      <c r="AF39" s="71">
        <v>33190</v>
      </c>
      <c r="AG39" s="72">
        <v>21418</v>
      </c>
      <c r="AH39" s="71">
        <v>41864</v>
      </c>
      <c r="AI39" s="72">
        <v>28116</v>
      </c>
    </row>
    <row r="40" spans="1:35">
      <c r="A40" s="66" t="s">
        <v>187</v>
      </c>
      <c r="B40" s="71">
        <v>20187</v>
      </c>
      <c r="C40" s="72">
        <v>12920</v>
      </c>
      <c r="D40" s="71">
        <v>16411</v>
      </c>
      <c r="E40" s="72">
        <v>10591</v>
      </c>
      <c r="F40" s="71">
        <v>18710</v>
      </c>
      <c r="G40" s="72">
        <v>11071</v>
      </c>
      <c r="H40" s="71">
        <v>16395</v>
      </c>
      <c r="I40" s="72">
        <v>11218</v>
      </c>
      <c r="J40" s="71">
        <v>11553</v>
      </c>
      <c r="K40" s="72">
        <v>7813</v>
      </c>
      <c r="L40" s="71">
        <v>13546</v>
      </c>
      <c r="M40" s="72">
        <v>9415</v>
      </c>
      <c r="N40" s="71">
        <v>12697</v>
      </c>
      <c r="O40" s="72">
        <v>8087</v>
      </c>
      <c r="P40" s="71">
        <v>13309</v>
      </c>
      <c r="Q40" s="72">
        <v>9214</v>
      </c>
      <c r="R40" s="71">
        <v>20426</v>
      </c>
      <c r="S40" s="72">
        <v>14145</v>
      </c>
      <c r="T40" s="71">
        <v>19148</v>
      </c>
      <c r="U40" s="72">
        <v>13700</v>
      </c>
      <c r="V40" s="71">
        <v>23559</v>
      </c>
      <c r="W40" s="72">
        <v>17557</v>
      </c>
      <c r="X40" s="71">
        <v>27284</v>
      </c>
      <c r="Y40" s="72">
        <v>18012</v>
      </c>
      <c r="Z40" s="71">
        <v>26811</v>
      </c>
      <c r="AA40" s="72">
        <v>17412</v>
      </c>
      <c r="AB40" s="71">
        <v>17996</v>
      </c>
      <c r="AC40" s="72">
        <v>12380</v>
      </c>
      <c r="AD40" s="71">
        <v>16223</v>
      </c>
      <c r="AE40" s="72">
        <v>10987</v>
      </c>
      <c r="AF40" s="71">
        <v>15504</v>
      </c>
      <c r="AG40" s="72">
        <v>10883</v>
      </c>
      <c r="AH40" s="71">
        <v>16257</v>
      </c>
      <c r="AI40" s="72">
        <v>12637</v>
      </c>
    </row>
    <row r="41" spans="1:35">
      <c r="A41" s="66" t="s">
        <v>188</v>
      </c>
      <c r="B41" s="71">
        <v>21688</v>
      </c>
      <c r="C41" s="72">
        <v>17686</v>
      </c>
      <c r="D41" s="71">
        <v>18538</v>
      </c>
      <c r="E41" s="72">
        <v>15341</v>
      </c>
      <c r="F41" s="71">
        <v>21929</v>
      </c>
      <c r="G41" s="72">
        <v>17211</v>
      </c>
      <c r="H41" s="71">
        <v>19998</v>
      </c>
      <c r="I41" s="72">
        <v>16058</v>
      </c>
      <c r="J41" s="71">
        <v>22577</v>
      </c>
      <c r="K41" s="72">
        <v>17054</v>
      </c>
      <c r="L41" s="71">
        <v>20549</v>
      </c>
      <c r="M41" s="72">
        <v>15706</v>
      </c>
      <c r="N41" s="71">
        <v>24516</v>
      </c>
      <c r="O41" s="72">
        <v>18465</v>
      </c>
      <c r="P41" s="71">
        <v>23477</v>
      </c>
      <c r="Q41" s="72">
        <v>17416</v>
      </c>
      <c r="R41" s="71">
        <v>24494</v>
      </c>
      <c r="S41" s="72">
        <v>18765</v>
      </c>
      <c r="T41" s="71">
        <v>25891</v>
      </c>
      <c r="U41" s="72">
        <v>19596</v>
      </c>
      <c r="V41" s="71">
        <v>24796</v>
      </c>
      <c r="W41" s="72">
        <v>20555</v>
      </c>
      <c r="X41" s="71">
        <v>24700</v>
      </c>
      <c r="Y41" s="72">
        <v>17703</v>
      </c>
      <c r="Z41" s="71">
        <v>28921</v>
      </c>
      <c r="AA41" s="72">
        <v>20968</v>
      </c>
      <c r="AB41" s="71">
        <v>27309</v>
      </c>
      <c r="AC41" s="72">
        <v>21312</v>
      </c>
      <c r="AD41" s="71">
        <v>26205</v>
      </c>
      <c r="AE41" s="72">
        <v>20157</v>
      </c>
      <c r="AF41" s="71">
        <v>41899</v>
      </c>
      <c r="AG41" s="72">
        <v>22175</v>
      </c>
      <c r="AH41" s="71">
        <v>36861</v>
      </c>
      <c r="AI41" s="72">
        <v>26630</v>
      </c>
    </row>
    <row r="42" spans="1:35">
      <c r="A42" s="66" t="s">
        <v>189</v>
      </c>
      <c r="B42" s="71">
        <v>5918</v>
      </c>
      <c r="C42" s="72">
        <v>4500</v>
      </c>
      <c r="D42" s="71">
        <v>5446</v>
      </c>
      <c r="E42" s="72">
        <v>4220</v>
      </c>
      <c r="F42" s="71">
        <v>7502</v>
      </c>
      <c r="G42" s="72">
        <v>5151</v>
      </c>
      <c r="H42" s="71">
        <v>5324</v>
      </c>
      <c r="I42" s="72">
        <v>3901</v>
      </c>
      <c r="J42" s="71">
        <v>5166</v>
      </c>
      <c r="K42" s="72">
        <v>3884</v>
      </c>
      <c r="L42" s="71">
        <v>4718</v>
      </c>
      <c r="M42" s="72">
        <v>3721</v>
      </c>
      <c r="N42" s="71">
        <v>7870</v>
      </c>
      <c r="O42" s="72">
        <v>5613</v>
      </c>
      <c r="P42" s="71">
        <v>7415</v>
      </c>
      <c r="Q42" s="72">
        <v>5493</v>
      </c>
      <c r="R42" s="71">
        <v>4431</v>
      </c>
      <c r="S42" s="72">
        <v>3369</v>
      </c>
      <c r="T42" s="71">
        <v>4462</v>
      </c>
      <c r="U42" s="72">
        <v>3305</v>
      </c>
      <c r="V42" s="71">
        <v>5736</v>
      </c>
      <c r="W42" s="72">
        <v>4574</v>
      </c>
      <c r="X42" s="71">
        <v>7132</v>
      </c>
      <c r="Y42" s="72">
        <v>4834</v>
      </c>
      <c r="Z42" s="71">
        <v>5857</v>
      </c>
      <c r="AA42" s="72">
        <v>4092</v>
      </c>
      <c r="AB42" s="71">
        <v>7492</v>
      </c>
      <c r="AC42" s="72">
        <v>5553</v>
      </c>
      <c r="AD42" s="71">
        <v>7246</v>
      </c>
      <c r="AE42" s="72">
        <v>5240</v>
      </c>
      <c r="AF42" s="71">
        <v>8687</v>
      </c>
      <c r="AG42" s="72">
        <v>6392</v>
      </c>
      <c r="AH42" s="71">
        <v>14252</v>
      </c>
      <c r="AI42" s="72">
        <v>9989</v>
      </c>
    </row>
    <row r="43" spans="1:35">
      <c r="A43" s="66" t="s">
        <v>190</v>
      </c>
      <c r="B43" s="71">
        <v>4525</v>
      </c>
      <c r="C43" s="72">
        <v>3423</v>
      </c>
      <c r="D43" s="71">
        <v>4285</v>
      </c>
      <c r="E43" s="72">
        <v>3151</v>
      </c>
      <c r="F43" s="71">
        <v>4843</v>
      </c>
      <c r="G43" s="72">
        <v>3458</v>
      </c>
      <c r="H43" s="71">
        <v>5074</v>
      </c>
      <c r="I43" s="72">
        <v>3611</v>
      </c>
      <c r="J43" s="71">
        <v>3985</v>
      </c>
      <c r="K43" s="72">
        <v>2879</v>
      </c>
      <c r="L43" s="71">
        <v>3595</v>
      </c>
      <c r="M43" s="72">
        <v>2755</v>
      </c>
      <c r="N43" s="71">
        <v>4795</v>
      </c>
      <c r="O43" s="72">
        <v>3305</v>
      </c>
      <c r="P43" s="71">
        <v>4483</v>
      </c>
      <c r="Q43" s="72">
        <v>3205</v>
      </c>
      <c r="R43" s="71">
        <v>4430</v>
      </c>
      <c r="S43" s="72">
        <v>3308</v>
      </c>
      <c r="T43" s="71">
        <v>4979</v>
      </c>
      <c r="U43" s="72">
        <v>3512</v>
      </c>
      <c r="V43" s="71">
        <v>3903</v>
      </c>
      <c r="W43" s="72">
        <v>3107</v>
      </c>
      <c r="X43" s="71">
        <v>3669</v>
      </c>
      <c r="Y43" s="72">
        <v>2697</v>
      </c>
      <c r="Z43" s="71">
        <v>5131</v>
      </c>
      <c r="AA43" s="72">
        <v>3481</v>
      </c>
      <c r="AB43" s="71">
        <v>4971</v>
      </c>
      <c r="AC43" s="72">
        <v>3611</v>
      </c>
      <c r="AD43" s="71">
        <v>4853</v>
      </c>
      <c r="AE43" s="72">
        <v>3507</v>
      </c>
      <c r="AF43" s="71">
        <v>4764</v>
      </c>
      <c r="AG43" s="72">
        <v>3663</v>
      </c>
      <c r="AH43" s="71">
        <v>5029</v>
      </c>
      <c r="AI43" s="72">
        <v>3907</v>
      </c>
    </row>
    <row r="44" spans="1:35" ht="17.45" thickBot="1">
      <c r="A44" s="93" t="s">
        <v>191</v>
      </c>
      <c r="B44" s="79">
        <v>126978</v>
      </c>
      <c r="C44" s="80">
        <v>92658</v>
      </c>
      <c r="D44" s="79">
        <v>127601</v>
      </c>
      <c r="E44" s="80">
        <v>91741</v>
      </c>
      <c r="F44" s="79">
        <v>119372</v>
      </c>
      <c r="G44" s="80">
        <v>86594</v>
      </c>
      <c r="H44" s="79">
        <v>127916</v>
      </c>
      <c r="I44" s="80">
        <v>87683</v>
      </c>
      <c r="J44" s="79">
        <v>128096</v>
      </c>
      <c r="K44" s="80">
        <v>89881</v>
      </c>
      <c r="L44" s="79">
        <v>119509</v>
      </c>
      <c r="M44" s="80">
        <v>87283</v>
      </c>
      <c r="N44" s="79">
        <v>144160</v>
      </c>
      <c r="O44" s="80">
        <v>104201</v>
      </c>
      <c r="P44" s="79">
        <v>153656</v>
      </c>
      <c r="Q44" s="80">
        <v>104848</v>
      </c>
      <c r="R44" s="79">
        <v>147613</v>
      </c>
      <c r="S44" s="80">
        <v>102625</v>
      </c>
      <c r="T44" s="79">
        <v>144592</v>
      </c>
      <c r="U44" s="80">
        <v>103992</v>
      </c>
      <c r="V44" s="79">
        <v>154013</v>
      </c>
      <c r="W44" s="80">
        <v>115585</v>
      </c>
      <c r="X44" s="79">
        <v>161399</v>
      </c>
      <c r="Y44" s="80">
        <v>104868</v>
      </c>
      <c r="Z44" s="79">
        <v>171352</v>
      </c>
      <c r="AA44" s="80">
        <v>119391</v>
      </c>
      <c r="AB44" s="79">
        <v>174069</v>
      </c>
      <c r="AC44" s="80">
        <v>118457</v>
      </c>
      <c r="AD44" s="79">
        <v>153676</v>
      </c>
      <c r="AE44" s="80">
        <v>109302</v>
      </c>
      <c r="AF44" s="79">
        <v>167979</v>
      </c>
      <c r="AG44" s="80">
        <v>115962</v>
      </c>
      <c r="AH44" s="79">
        <v>185793</v>
      </c>
      <c r="AI44" s="80">
        <v>138679</v>
      </c>
    </row>
    <row r="45" spans="1:35" ht="33.950000000000003">
      <c r="A45" s="92" t="s">
        <v>248</v>
      </c>
      <c r="B45" s="154">
        <v>854978</v>
      </c>
      <c r="C45" s="155"/>
      <c r="D45" s="158">
        <v>856449</v>
      </c>
      <c r="E45" s="155"/>
      <c r="F45" s="158">
        <v>860769</v>
      </c>
      <c r="G45" s="155"/>
      <c r="H45" s="158">
        <v>879670</v>
      </c>
      <c r="I45" s="155"/>
      <c r="J45" s="158">
        <v>943873</v>
      </c>
      <c r="K45" s="155"/>
      <c r="L45" s="158">
        <v>804691</v>
      </c>
      <c r="M45" s="155"/>
      <c r="N45" s="158">
        <v>1021837</v>
      </c>
      <c r="O45" s="155"/>
      <c r="P45" s="158">
        <v>964195</v>
      </c>
      <c r="Q45" s="155"/>
      <c r="R45" s="158">
        <v>963780</v>
      </c>
      <c r="S45" s="155"/>
      <c r="T45" s="158">
        <v>947946</v>
      </c>
      <c r="U45" s="155"/>
      <c r="V45" s="158">
        <v>1113547</v>
      </c>
      <c r="W45" s="155"/>
      <c r="X45" s="158">
        <v>1067324</v>
      </c>
      <c r="Y45" s="155"/>
      <c r="Z45" s="158">
        <v>1026657</v>
      </c>
      <c r="AA45" s="155"/>
      <c r="AB45" s="158">
        <v>1038646</v>
      </c>
      <c r="AC45" s="155"/>
      <c r="AD45" s="158">
        <v>984854</v>
      </c>
      <c r="AE45" s="155"/>
      <c r="AF45" s="158">
        <v>1009120</v>
      </c>
      <c r="AG45" s="155"/>
      <c r="AH45" s="158">
        <v>992777</v>
      </c>
      <c r="AI45" s="168"/>
    </row>
    <row r="46" spans="1:35" ht="17.45" thickBot="1">
      <c r="A46" s="84" t="s">
        <v>193</v>
      </c>
      <c r="B46" s="156"/>
      <c r="C46" s="194"/>
      <c r="D46" s="157"/>
      <c r="E46" s="194"/>
      <c r="F46" s="157"/>
      <c r="G46" s="194"/>
      <c r="H46" s="157"/>
      <c r="I46" s="194"/>
      <c r="J46" s="157"/>
      <c r="K46" s="194"/>
      <c r="L46" s="157"/>
      <c r="M46" s="194"/>
      <c r="N46" s="157"/>
      <c r="O46" s="194"/>
      <c r="P46" s="157"/>
      <c r="Q46" s="194"/>
      <c r="R46" s="157"/>
      <c r="S46" s="194"/>
      <c r="T46" s="157"/>
      <c r="U46" s="194"/>
      <c r="V46" s="157"/>
      <c r="W46" s="194"/>
      <c r="X46" s="157"/>
      <c r="Y46" s="194"/>
      <c r="Z46" s="157"/>
      <c r="AA46" s="194"/>
      <c r="AB46" s="157"/>
      <c r="AC46" s="194"/>
      <c r="AD46" s="157"/>
      <c r="AE46" s="194"/>
      <c r="AF46" s="157"/>
      <c r="AG46" s="194"/>
      <c r="AH46" s="157"/>
      <c r="AI46" s="195"/>
    </row>
    <row r="47" spans="1:35"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</row>
    <row r="48" spans="1:35" ht="17.45" thickBot="1"/>
    <row r="49" spans="1:27">
      <c r="A49" s="70"/>
      <c r="B49" s="180">
        <v>45248</v>
      </c>
      <c r="C49" s="151"/>
      <c r="D49" s="180">
        <v>45249</v>
      </c>
      <c r="E49" s="151"/>
      <c r="F49" s="180">
        <v>45250</v>
      </c>
      <c r="G49" s="151"/>
      <c r="H49" s="180">
        <v>45251</v>
      </c>
      <c r="I49" s="151"/>
      <c r="J49" s="180">
        <v>45253</v>
      </c>
      <c r="K49" s="151"/>
      <c r="L49" s="180">
        <v>45254</v>
      </c>
      <c r="M49" s="151"/>
      <c r="N49" s="180">
        <v>45255</v>
      </c>
      <c r="O49" s="151"/>
      <c r="P49" s="180">
        <v>45256</v>
      </c>
      <c r="Q49" s="151"/>
      <c r="R49" s="180">
        <v>45257</v>
      </c>
      <c r="S49" s="151"/>
      <c r="T49" s="180">
        <v>45258</v>
      </c>
      <c r="U49" s="151"/>
      <c r="V49" s="180">
        <v>45261</v>
      </c>
      <c r="W49" s="151"/>
      <c r="X49" s="180">
        <v>45262</v>
      </c>
      <c r="Y49" s="151"/>
      <c r="Z49" s="180">
        <v>45263</v>
      </c>
      <c r="AA49" s="151"/>
    </row>
    <row r="50" spans="1:27">
      <c r="A50" s="69"/>
      <c r="B50" s="152" t="s">
        <v>254</v>
      </c>
      <c r="C50" s="153"/>
      <c r="D50" s="152" t="s">
        <v>254</v>
      </c>
      <c r="E50" s="153"/>
      <c r="F50" s="152" t="s">
        <v>254</v>
      </c>
      <c r="G50" s="153"/>
      <c r="H50" s="152" t="s">
        <v>254</v>
      </c>
      <c r="I50" s="153"/>
      <c r="J50" s="152" t="s">
        <v>254</v>
      </c>
      <c r="K50" s="153"/>
      <c r="L50" s="152" t="s">
        <v>254</v>
      </c>
      <c r="M50" s="153"/>
      <c r="N50" s="152" t="s">
        <v>254</v>
      </c>
      <c r="O50" s="153"/>
      <c r="P50" s="152" t="s">
        <v>254</v>
      </c>
      <c r="Q50" s="153"/>
      <c r="R50" s="152" t="s">
        <v>254</v>
      </c>
      <c r="S50" s="153"/>
      <c r="T50" s="152" t="s">
        <v>254</v>
      </c>
      <c r="U50" s="153"/>
      <c r="V50" s="152" t="s">
        <v>254</v>
      </c>
      <c r="W50" s="153"/>
      <c r="X50" s="152" t="s">
        <v>254</v>
      </c>
      <c r="Y50" s="153"/>
      <c r="Z50" s="152" t="s">
        <v>254</v>
      </c>
      <c r="AA50" s="153"/>
    </row>
    <row r="51" spans="1:27">
      <c r="A51" s="69"/>
      <c r="B51" s="152" t="s">
        <v>169</v>
      </c>
      <c r="C51" s="153"/>
      <c r="D51" s="152" t="s">
        <v>170</v>
      </c>
      <c r="E51" s="153"/>
      <c r="F51" s="152" t="s">
        <v>171</v>
      </c>
      <c r="G51" s="153"/>
      <c r="H51" s="152" t="s">
        <v>172</v>
      </c>
      <c r="I51" s="153"/>
      <c r="J51" s="152" t="s">
        <v>173</v>
      </c>
      <c r="K51" s="153"/>
      <c r="L51" s="152" t="s">
        <v>174</v>
      </c>
      <c r="M51" s="153"/>
      <c r="N51" s="152" t="s">
        <v>175</v>
      </c>
      <c r="O51" s="153"/>
      <c r="P51" s="152" t="s">
        <v>176</v>
      </c>
      <c r="Q51" s="153"/>
      <c r="R51" s="152" t="s">
        <v>177</v>
      </c>
      <c r="S51" s="153"/>
      <c r="T51" s="152" t="s">
        <v>178</v>
      </c>
      <c r="U51" s="153"/>
      <c r="V51" s="152" t="s">
        <v>208</v>
      </c>
      <c r="W51" s="153"/>
      <c r="X51" s="152" t="s">
        <v>209</v>
      </c>
      <c r="Y51" s="153"/>
      <c r="Z51" s="152" t="s">
        <v>210</v>
      </c>
      <c r="AA51" s="153"/>
    </row>
    <row r="52" spans="1:27">
      <c r="A52" s="69"/>
      <c r="B52" s="152" t="s">
        <v>250</v>
      </c>
      <c r="C52" s="153"/>
      <c r="D52" s="152" t="s">
        <v>251</v>
      </c>
      <c r="E52" s="153"/>
      <c r="F52" s="152" t="s">
        <v>250</v>
      </c>
      <c r="G52" s="153"/>
      <c r="H52" s="152" t="s">
        <v>251</v>
      </c>
      <c r="I52" s="153"/>
      <c r="J52" s="152" t="s">
        <v>196</v>
      </c>
      <c r="K52" s="153"/>
      <c r="L52" s="152" t="s">
        <v>196</v>
      </c>
      <c r="M52" s="153"/>
      <c r="N52" s="152" t="s">
        <v>195</v>
      </c>
      <c r="O52" s="153"/>
      <c r="P52" s="152" t="s">
        <v>195</v>
      </c>
      <c r="Q52" s="153"/>
      <c r="R52" s="152" t="s">
        <v>255</v>
      </c>
      <c r="S52" s="153"/>
      <c r="T52" s="152" t="s">
        <v>255</v>
      </c>
      <c r="U52" s="153"/>
      <c r="V52" s="152" t="s">
        <v>181</v>
      </c>
      <c r="W52" s="153"/>
      <c r="X52" s="152" t="s">
        <v>181</v>
      </c>
      <c r="Y52" s="153"/>
      <c r="Z52" s="152" t="s">
        <v>181</v>
      </c>
      <c r="AA52" s="153"/>
    </row>
    <row r="53" spans="1:27">
      <c r="A53" s="65" t="s">
        <v>182</v>
      </c>
      <c r="B53" s="68" t="s">
        <v>183</v>
      </c>
      <c r="C53" s="67" t="s">
        <v>184</v>
      </c>
      <c r="D53" s="68" t="s">
        <v>183</v>
      </c>
      <c r="E53" s="67" t="s">
        <v>184</v>
      </c>
      <c r="F53" s="68" t="s">
        <v>183</v>
      </c>
      <c r="G53" s="67" t="s">
        <v>184</v>
      </c>
      <c r="H53" s="68" t="s">
        <v>183</v>
      </c>
      <c r="I53" s="67" t="s">
        <v>184</v>
      </c>
      <c r="J53" s="68" t="s">
        <v>183</v>
      </c>
      <c r="K53" s="67" t="s">
        <v>184</v>
      </c>
      <c r="L53" s="68" t="s">
        <v>183</v>
      </c>
      <c r="M53" s="67" t="s">
        <v>184</v>
      </c>
      <c r="N53" s="68" t="s">
        <v>183</v>
      </c>
      <c r="O53" s="67" t="s">
        <v>184</v>
      </c>
      <c r="P53" s="68" t="s">
        <v>183</v>
      </c>
      <c r="Q53" s="67" t="s">
        <v>184</v>
      </c>
      <c r="R53" s="68" t="s">
        <v>183</v>
      </c>
      <c r="S53" s="67" t="s">
        <v>184</v>
      </c>
      <c r="T53" s="68" t="s">
        <v>183</v>
      </c>
      <c r="U53" s="67" t="s">
        <v>184</v>
      </c>
      <c r="V53" s="68" t="s">
        <v>183</v>
      </c>
      <c r="W53" s="67" t="s">
        <v>184</v>
      </c>
      <c r="X53" s="68" t="s">
        <v>183</v>
      </c>
      <c r="Y53" s="67" t="s">
        <v>184</v>
      </c>
      <c r="Z53" s="68" t="s">
        <v>183</v>
      </c>
      <c r="AA53" s="67" t="s">
        <v>184</v>
      </c>
    </row>
    <row r="54" spans="1:27">
      <c r="A54" s="66" t="s">
        <v>185</v>
      </c>
      <c r="B54" s="71">
        <v>38071</v>
      </c>
      <c r="C54" s="72">
        <v>22635</v>
      </c>
      <c r="D54" s="71">
        <v>30710</v>
      </c>
      <c r="E54" s="72">
        <v>17674</v>
      </c>
      <c r="F54" s="71">
        <v>50581</v>
      </c>
      <c r="G54" s="72">
        <v>32022</v>
      </c>
      <c r="H54" s="71">
        <v>25449</v>
      </c>
      <c r="I54" s="72">
        <v>14212</v>
      </c>
      <c r="J54" s="71">
        <v>33167</v>
      </c>
      <c r="K54" s="72">
        <v>19946</v>
      </c>
      <c r="L54" s="71">
        <v>38568</v>
      </c>
      <c r="M54" s="72">
        <v>24871</v>
      </c>
      <c r="N54" s="71">
        <v>53360</v>
      </c>
      <c r="O54" s="72">
        <v>29418</v>
      </c>
      <c r="P54" s="71">
        <v>64693</v>
      </c>
      <c r="Q54" s="72">
        <v>39668</v>
      </c>
      <c r="R54" s="71">
        <v>47836</v>
      </c>
      <c r="S54" s="72">
        <v>27215</v>
      </c>
      <c r="T54" s="71">
        <v>51191</v>
      </c>
      <c r="U54" s="72">
        <v>29072</v>
      </c>
      <c r="V54" s="71">
        <v>81745</v>
      </c>
      <c r="W54" s="72">
        <v>43320</v>
      </c>
      <c r="X54" s="71">
        <v>70354</v>
      </c>
      <c r="Y54" s="72">
        <v>41392</v>
      </c>
      <c r="Z54" s="71">
        <v>104714</v>
      </c>
      <c r="AA54" s="72">
        <v>58869</v>
      </c>
    </row>
    <row r="55" spans="1:27">
      <c r="A55" s="66" t="s">
        <v>186</v>
      </c>
      <c r="B55" s="71">
        <v>28355</v>
      </c>
      <c r="C55" s="72">
        <v>19324</v>
      </c>
      <c r="D55" s="71">
        <v>28241</v>
      </c>
      <c r="E55" s="72">
        <v>18198</v>
      </c>
      <c r="F55" s="71">
        <v>41543</v>
      </c>
      <c r="G55" s="72">
        <v>26544</v>
      </c>
      <c r="H55" s="71">
        <v>28435</v>
      </c>
      <c r="I55" s="72">
        <v>20048</v>
      </c>
      <c r="J55" s="71">
        <v>25090</v>
      </c>
      <c r="K55" s="72">
        <v>18151</v>
      </c>
      <c r="L55" s="71">
        <v>34007</v>
      </c>
      <c r="M55" s="72">
        <v>22517</v>
      </c>
      <c r="N55" s="71">
        <v>32340</v>
      </c>
      <c r="O55" s="72">
        <v>20518</v>
      </c>
      <c r="P55" s="71">
        <v>45102</v>
      </c>
      <c r="Q55" s="72">
        <v>27816</v>
      </c>
      <c r="R55" s="71">
        <v>24096</v>
      </c>
      <c r="S55" s="72">
        <v>15703</v>
      </c>
      <c r="T55" s="71">
        <v>33237</v>
      </c>
      <c r="U55" s="72">
        <v>20367</v>
      </c>
      <c r="V55" s="71">
        <v>54692</v>
      </c>
      <c r="W55" s="72">
        <v>37127</v>
      </c>
      <c r="X55" s="71">
        <v>39490</v>
      </c>
      <c r="Y55" s="72">
        <v>25951</v>
      </c>
      <c r="Z55" s="71">
        <v>45845</v>
      </c>
      <c r="AA55" s="72">
        <v>31644</v>
      </c>
    </row>
    <row r="56" spans="1:27">
      <c r="A56" s="66" t="s">
        <v>187</v>
      </c>
      <c r="B56" s="71">
        <v>16158</v>
      </c>
      <c r="C56" s="72">
        <v>12748</v>
      </c>
      <c r="D56" s="71">
        <v>18448</v>
      </c>
      <c r="E56" s="72">
        <v>13210</v>
      </c>
      <c r="F56" s="71">
        <v>14170</v>
      </c>
      <c r="G56" s="72">
        <v>10608</v>
      </c>
      <c r="H56" s="71">
        <v>16110</v>
      </c>
      <c r="I56" s="72">
        <v>11441</v>
      </c>
      <c r="J56" s="71">
        <v>18088</v>
      </c>
      <c r="K56" s="72">
        <v>13246</v>
      </c>
      <c r="L56" s="71">
        <v>20843</v>
      </c>
      <c r="M56" s="72">
        <v>13425</v>
      </c>
      <c r="N56" s="71">
        <v>17428</v>
      </c>
      <c r="O56" s="72">
        <v>11801</v>
      </c>
      <c r="P56" s="71">
        <v>23874</v>
      </c>
      <c r="Q56" s="72">
        <v>12488</v>
      </c>
      <c r="R56" s="71">
        <v>26480</v>
      </c>
      <c r="S56" s="72">
        <v>15796</v>
      </c>
      <c r="T56" s="71">
        <v>27551</v>
      </c>
      <c r="U56" s="72">
        <v>17439</v>
      </c>
      <c r="V56" s="71">
        <v>43713</v>
      </c>
      <c r="W56" s="72">
        <v>23263</v>
      </c>
      <c r="X56" s="71">
        <v>44039</v>
      </c>
      <c r="Y56" s="72">
        <v>23168</v>
      </c>
      <c r="Z56" s="71">
        <v>55384</v>
      </c>
      <c r="AA56" s="72">
        <v>30576</v>
      </c>
    </row>
    <row r="57" spans="1:27">
      <c r="A57" s="66" t="s">
        <v>188</v>
      </c>
      <c r="B57" s="71">
        <v>31082</v>
      </c>
      <c r="C57" s="72">
        <v>24554</v>
      </c>
      <c r="D57" s="71">
        <v>29766</v>
      </c>
      <c r="E57" s="72">
        <v>23166</v>
      </c>
      <c r="F57" s="71">
        <v>29777</v>
      </c>
      <c r="G57" s="72">
        <v>22468</v>
      </c>
      <c r="H57" s="71">
        <v>23767</v>
      </c>
      <c r="I57" s="72">
        <v>18477</v>
      </c>
      <c r="J57" s="71">
        <v>21324</v>
      </c>
      <c r="K57" s="72">
        <v>17282</v>
      </c>
      <c r="L57" s="71">
        <v>23460</v>
      </c>
      <c r="M57" s="72">
        <v>17777</v>
      </c>
      <c r="N57" s="71">
        <v>29701</v>
      </c>
      <c r="O57" s="72">
        <v>22483</v>
      </c>
      <c r="P57" s="71">
        <v>30929</v>
      </c>
      <c r="Q57" s="72">
        <v>22517</v>
      </c>
      <c r="R57" s="71">
        <v>33980</v>
      </c>
      <c r="S57" s="72">
        <v>23983</v>
      </c>
      <c r="T57" s="71">
        <v>38514</v>
      </c>
      <c r="U57" s="72">
        <v>26263</v>
      </c>
      <c r="V57" s="71">
        <v>39461</v>
      </c>
      <c r="W57" s="72">
        <v>30685</v>
      </c>
      <c r="X57" s="71">
        <v>42033</v>
      </c>
      <c r="Y57" s="72">
        <v>30788</v>
      </c>
      <c r="Z57" s="71">
        <v>52452</v>
      </c>
      <c r="AA57" s="72">
        <v>35924</v>
      </c>
    </row>
    <row r="58" spans="1:27">
      <c r="A58" s="66" t="s">
        <v>189</v>
      </c>
      <c r="B58" s="71">
        <v>6334</v>
      </c>
      <c r="C58" s="72">
        <v>4959</v>
      </c>
      <c r="D58" s="71">
        <v>8338</v>
      </c>
      <c r="E58" s="72">
        <v>6098</v>
      </c>
      <c r="F58" s="71">
        <v>6055</v>
      </c>
      <c r="G58" s="72">
        <v>4283</v>
      </c>
      <c r="H58" s="71">
        <v>8688</v>
      </c>
      <c r="I58" s="72">
        <v>5167</v>
      </c>
      <c r="J58" s="71">
        <v>5710</v>
      </c>
      <c r="K58" s="72">
        <v>4176</v>
      </c>
      <c r="L58" s="71">
        <v>6227</v>
      </c>
      <c r="M58" s="72">
        <v>4197</v>
      </c>
      <c r="N58" s="71">
        <v>7626</v>
      </c>
      <c r="O58" s="72">
        <v>5459</v>
      </c>
      <c r="P58" s="71">
        <v>8519</v>
      </c>
      <c r="Q58" s="72">
        <v>5729</v>
      </c>
      <c r="R58" s="71">
        <v>8438</v>
      </c>
      <c r="S58" s="72">
        <v>5702</v>
      </c>
      <c r="T58" s="71">
        <v>10979</v>
      </c>
      <c r="U58" s="72">
        <v>6767</v>
      </c>
      <c r="V58" s="71">
        <v>10220</v>
      </c>
      <c r="W58" s="72">
        <v>7181</v>
      </c>
      <c r="X58" s="71">
        <v>11670</v>
      </c>
      <c r="Y58" s="72">
        <v>7914</v>
      </c>
      <c r="Z58" s="71">
        <v>17101</v>
      </c>
      <c r="AA58" s="72">
        <v>11226</v>
      </c>
    </row>
    <row r="59" spans="1:27">
      <c r="A59" s="66" t="s">
        <v>190</v>
      </c>
      <c r="B59" s="71">
        <v>4627</v>
      </c>
      <c r="C59" s="72">
        <v>3030</v>
      </c>
      <c r="D59" s="71">
        <v>5781</v>
      </c>
      <c r="E59" s="72">
        <v>3798</v>
      </c>
      <c r="F59" s="71">
        <v>4159</v>
      </c>
      <c r="G59" s="72">
        <v>2882</v>
      </c>
      <c r="H59" s="71">
        <v>5297</v>
      </c>
      <c r="I59" s="72">
        <v>3562</v>
      </c>
      <c r="J59" s="71">
        <v>3400</v>
      </c>
      <c r="K59" s="72">
        <v>2539</v>
      </c>
      <c r="L59" s="71">
        <v>3864</v>
      </c>
      <c r="M59" s="72">
        <v>2581</v>
      </c>
      <c r="N59" s="71">
        <v>4959</v>
      </c>
      <c r="O59" s="72">
        <v>3411</v>
      </c>
      <c r="P59" s="71">
        <v>5528</v>
      </c>
      <c r="Q59" s="72">
        <v>3371</v>
      </c>
      <c r="R59" s="71">
        <v>5620</v>
      </c>
      <c r="S59" s="72">
        <v>3472</v>
      </c>
      <c r="T59" s="71">
        <v>6301</v>
      </c>
      <c r="U59" s="72">
        <v>4120</v>
      </c>
      <c r="V59" s="71">
        <v>4802</v>
      </c>
      <c r="W59" s="72">
        <v>3471</v>
      </c>
      <c r="X59" s="71">
        <v>4885</v>
      </c>
      <c r="Y59" s="72">
        <v>3270</v>
      </c>
      <c r="Z59" s="71">
        <v>6552</v>
      </c>
      <c r="AA59" s="72">
        <v>4028</v>
      </c>
    </row>
    <row r="60" spans="1:27" ht="17.45" thickBot="1">
      <c r="A60" s="82" t="s">
        <v>191</v>
      </c>
      <c r="B60" s="79">
        <v>128840</v>
      </c>
      <c r="C60" s="80">
        <v>95928</v>
      </c>
      <c r="D60" s="79">
        <v>123629</v>
      </c>
      <c r="E60" s="80">
        <v>92086</v>
      </c>
      <c r="F60" s="79">
        <v>144142</v>
      </c>
      <c r="G60" s="80">
        <v>106413</v>
      </c>
      <c r="H60" s="79">
        <v>106184</v>
      </c>
      <c r="I60" s="80">
        <v>81809</v>
      </c>
      <c r="J60" s="79">
        <v>111787</v>
      </c>
      <c r="K60" s="80">
        <v>83832</v>
      </c>
      <c r="L60" s="79">
        <v>124603</v>
      </c>
      <c r="M60" s="80">
        <v>93116</v>
      </c>
      <c r="N60" s="79">
        <v>148326</v>
      </c>
      <c r="O60" s="80">
        <v>100782</v>
      </c>
      <c r="P60" s="79">
        <v>171161</v>
      </c>
      <c r="Q60" s="80">
        <v>119177</v>
      </c>
      <c r="R60" s="79">
        <v>141721</v>
      </c>
      <c r="S60" s="80">
        <v>99526</v>
      </c>
      <c r="T60" s="79">
        <v>177924</v>
      </c>
      <c r="U60" s="80">
        <v>112828</v>
      </c>
      <c r="V60" s="79">
        <v>222698</v>
      </c>
      <c r="W60" s="80">
        <v>156676</v>
      </c>
      <c r="X60" s="79">
        <v>201874</v>
      </c>
      <c r="Y60" s="80">
        <v>144272</v>
      </c>
      <c r="Z60" s="79">
        <v>263656</v>
      </c>
      <c r="AA60" s="80">
        <v>188509</v>
      </c>
    </row>
    <row r="61" spans="1:27" ht="51" customHeight="1">
      <c r="A61" s="90" t="s">
        <v>256</v>
      </c>
      <c r="B61" s="158">
        <v>700388</v>
      </c>
      <c r="C61" s="155"/>
      <c r="D61" s="158">
        <v>759613</v>
      </c>
      <c r="E61" s="155"/>
      <c r="F61" s="158">
        <v>726018</v>
      </c>
      <c r="G61" s="155"/>
      <c r="H61" s="158">
        <v>711291</v>
      </c>
      <c r="I61" s="155"/>
      <c r="J61" s="158">
        <v>592328</v>
      </c>
      <c r="K61" s="155"/>
      <c r="L61" s="158">
        <v>592171</v>
      </c>
      <c r="M61" s="155"/>
      <c r="N61" s="158">
        <v>668891</v>
      </c>
      <c r="O61" s="155"/>
      <c r="P61" s="158">
        <v>740260</v>
      </c>
      <c r="Q61" s="155"/>
      <c r="R61" s="158">
        <v>716509</v>
      </c>
      <c r="S61" s="155"/>
      <c r="T61" s="158">
        <v>745225</v>
      </c>
      <c r="U61" s="155"/>
      <c r="V61" s="158">
        <v>1329863</v>
      </c>
      <c r="W61" s="155"/>
      <c r="X61" s="158">
        <v>1306875</v>
      </c>
      <c r="Y61" s="155"/>
      <c r="Z61" s="158">
        <v>1450884</v>
      </c>
      <c r="AA61" s="168"/>
    </row>
    <row r="62" spans="1:27" ht="33.950000000000003" customHeight="1">
      <c r="A62" s="92" t="s">
        <v>248</v>
      </c>
      <c r="B62" s="187">
        <v>773872</v>
      </c>
      <c r="C62" s="189"/>
      <c r="D62" s="187">
        <v>816055</v>
      </c>
      <c r="E62" s="189"/>
      <c r="F62" s="187">
        <v>821154</v>
      </c>
      <c r="G62" s="189"/>
      <c r="H62" s="187">
        <v>749278</v>
      </c>
      <c r="I62" s="189"/>
      <c r="J62" s="187">
        <v>636563</v>
      </c>
      <c r="K62" s="189"/>
      <c r="L62" s="187">
        <v>638405</v>
      </c>
      <c r="M62" s="189"/>
      <c r="N62" s="187">
        <v>735988</v>
      </c>
      <c r="O62" s="189"/>
      <c r="P62" s="187">
        <v>825900</v>
      </c>
      <c r="Q62" s="189"/>
      <c r="R62" s="187">
        <v>774673</v>
      </c>
      <c r="S62" s="189"/>
      <c r="T62" s="187">
        <v>805712</v>
      </c>
      <c r="U62" s="189"/>
      <c r="V62" s="187">
        <v>1549982</v>
      </c>
      <c r="W62" s="189"/>
      <c r="X62" s="187">
        <v>1377307</v>
      </c>
      <c r="Y62" s="189"/>
      <c r="Z62" s="187">
        <v>1534937</v>
      </c>
      <c r="AA62" s="188"/>
    </row>
    <row r="63" spans="1:27" ht="17.45" thickBot="1">
      <c r="A63" s="91" t="s">
        <v>193</v>
      </c>
      <c r="B63" s="157"/>
      <c r="C63" s="194"/>
      <c r="D63" s="157"/>
      <c r="E63" s="194"/>
      <c r="F63" s="157"/>
      <c r="G63" s="194"/>
      <c r="H63" s="157"/>
      <c r="I63" s="194"/>
      <c r="J63" s="157"/>
      <c r="K63" s="194"/>
      <c r="L63" s="157"/>
      <c r="M63" s="194"/>
      <c r="N63" s="157"/>
      <c r="O63" s="194"/>
      <c r="P63" s="157"/>
      <c r="Q63" s="194"/>
      <c r="R63" s="157"/>
      <c r="S63" s="194"/>
      <c r="T63" s="157"/>
      <c r="U63" s="194"/>
      <c r="V63" s="157"/>
      <c r="W63" s="194"/>
      <c r="X63" s="157"/>
      <c r="Y63" s="194"/>
      <c r="Z63" s="157"/>
      <c r="AA63" s="195"/>
    </row>
    <row r="64" spans="1:27"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spans="1:25" ht="17.45" thickBot="1"/>
    <row r="66" spans="1:25">
      <c r="A66" s="70"/>
      <c r="B66" s="180">
        <v>45635</v>
      </c>
      <c r="C66" s="151"/>
      <c r="D66" s="180">
        <v>45636</v>
      </c>
      <c r="E66" s="151"/>
      <c r="F66" s="180">
        <v>45637</v>
      </c>
      <c r="G66" s="151"/>
      <c r="H66" s="180">
        <v>45638</v>
      </c>
      <c r="I66" s="151"/>
      <c r="J66" s="180">
        <v>45639</v>
      </c>
      <c r="K66" s="151"/>
      <c r="L66" s="180">
        <v>45640</v>
      </c>
      <c r="M66" s="151"/>
      <c r="N66" s="180">
        <v>45642</v>
      </c>
      <c r="O66" s="151"/>
      <c r="P66" s="180">
        <v>45643</v>
      </c>
      <c r="Q66" s="151"/>
      <c r="R66" s="180">
        <v>45644</v>
      </c>
      <c r="S66" s="151"/>
      <c r="T66" s="180">
        <v>45646</v>
      </c>
      <c r="U66" s="151"/>
      <c r="V66" s="180">
        <v>45647</v>
      </c>
      <c r="W66" s="151"/>
      <c r="X66" s="180">
        <v>45648</v>
      </c>
      <c r="Y66" s="151"/>
    </row>
    <row r="67" spans="1:25">
      <c r="A67" s="69"/>
      <c r="B67" s="152" t="s">
        <v>257</v>
      </c>
      <c r="C67" s="153"/>
      <c r="D67" s="152" t="s">
        <v>257</v>
      </c>
      <c r="E67" s="153"/>
      <c r="F67" s="152" t="s">
        <v>257</v>
      </c>
      <c r="G67" s="153"/>
      <c r="H67" s="152" t="s">
        <v>257</v>
      </c>
      <c r="I67" s="153"/>
      <c r="J67" s="152" t="s">
        <v>257</v>
      </c>
      <c r="K67" s="153"/>
      <c r="L67" s="152" t="s">
        <v>257</v>
      </c>
      <c r="M67" s="153"/>
      <c r="N67" s="152" t="s">
        <v>257</v>
      </c>
      <c r="O67" s="153"/>
      <c r="P67" s="152" t="s">
        <v>257</v>
      </c>
      <c r="Q67" s="153"/>
      <c r="R67" s="152" t="s">
        <v>257</v>
      </c>
      <c r="S67" s="153"/>
      <c r="T67" s="152" t="s">
        <v>257</v>
      </c>
      <c r="U67" s="153"/>
      <c r="V67" s="152" t="s">
        <v>257</v>
      </c>
      <c r="W67" s="153"/>
      <c r="X67" s="152" t="s">
        <v>257</v>
      </c>
      <c r="Y67" s="153"/>
    </row>
    <row r="68" spans="1:25">
      <c r="A68" s="69"/>
      <c r="B68" s="152" t="s">
        <v>169</v>
      </c>
      <c r="C68" s="153"/>
      <c r="D68" s="152" t="s">
        <v>170</v>
      </c>
      <c r="E68" s="153"/>
      <c r="F68" s="152" t="s">
        <v>171</v>
      </c>
      <c r="G68" s="153"/>
      <c r="H68" s="152" t="s">
        <v>172</v>
      </c>
      <c r="I68" s="153"/>
      <c r="J68" s="152" t="s">
        <v>173</v>
      </c>
      <c r="K68" s="153"/>
      <c r="L68" s="152" t="s">
        <v>174</v>
      </c>
      <c r="M68" s="153"/>
      <c r="N68" s="152" t="s">
        <v>175</v>
      </c>
      <c r="O68" s="153"/>
      <c r="P68" s="152" t="s">
        <v>176</v>
      </c>
      <c r="Q68" s="153"/>
      <c r="R68" s="152" t="s">
        <v>177</v>
      </c>
      <c r="S68" s="153"/>
      <c r="T68" s="152" t="s">
        <v>178</v>
      </c>
      <c r="U68" s="153"/>
      <c r="V68" s="152" t="s">
        <v>208</v>
      </c>
      <c r="W68" s="153"/>
      <c r="X68" s="152" t="s">
        <v>209</v>
      </c>
      <c r="Y68" s="153"/>
    </row>
    <row r="69" spans="1:25">
      <c r="A69" s="69"/>
      <c r="B69" s="152" t="s">
        <v>258</v>
      </c>
      <c r="C69" s="153"/>
      <c r="D69" s="152" t="s">
        <v>258</v>
      </c>
      <c r="E69" s="153"/>
      <c r="F69" s="152" t="s">
        <v>258</v>
      </c>
      <c r="G69" s="153"/>
      <c r="H69" s="152" t="s">
        <v>259</v>
      </c>
      <c r="I69" s="153"/>
      <c r="J69" s="152" t="s">
        <v>259</v>
      </c>
      <c r="K69" s="153"/>
      <c r="L69" s="152" t="s">
        <v>259</v>
      </c>
      <c r="M69" s="153"/>
      <c r="N69" s="152" t="s">
        <v>260</v>
      </c>
      <c r="O69" s="153"/>
      <c r="P69" s="152" t="s">
        <v>260</v>
      </c>
      <c r="Q69" s="153"/>
      <c r="R69" s="152" t="s">
        <v>260</v>
      </c>
      <c r="S69" s="153"/>
      <c r="T69" s="152" t="s">
        <v>181</v>
      </c>
      <c r="U69" s="153"/>
      <c r="V69" s="152" t="s">
        <v>181</v>
      </c>
      <c r="W69" s="153"/>
      <c r="X69" s="152" t="s">
        <v>181</v>
      </c>
      <c r="Y69" s="153"/>
    </row>
    <row r="70" spans="1:25">
      <c r="A70" s="65" t="s">
        <v>182</v>
      </c>
      <c r="B70" s="68" t="s">
        <v>183</v>
      </c>
      <c r="C70" s="67" t="s">
        <v>184</v>
      </c>
      <c r="D70" s="68" t="s">
        <v>183</v>
      </c>
      <c r="E70" s="67" t="s">
        <v>184</v>
      </c>
      <c r="F70" s="68" t="s">
        <v>183</v>
      </c>
      <c r="G70" s="67" t="s">
        <v>184</v>
      </c>
      <c r="H70" s="68" t="s">
        <v>183</v>
      </c>
      <c r="I70" s="67" t="s">
        <v>184</v>
      </c>
      <c r="J70" s="68" t="s">
        <v>183</v>
      </c>
      <c r="K70" s="67" t="s">
        <v>184</v>
      </c>
      <c r="L70" s="68" t="s">
        <v>183</v>
      </c>
      <c r="M70" s="67" t="s">
        <v>184</v>
      </c>
      <c r="N70" s="68" t="s">
        <v>183</v>
      </c>
      <c r="O70" s="67" t="s">
        <v>184</v>
      </c>
      <c r="P70" s="68" t="s">
        <v>183</v>
      </c>
      <c r="Q70" s="67" t="s">
        <v>184</v>
      </c>
      <c r="R70" s="68" t="s">
        <v>183</v>
      </c>
      <c r="S70" s="67" t="s">
        <v>184</v>
      </c>
      <c r="T70" s="68" t="s">
        <v>183</v>
      </c>
      <c r="U70" s="67" t="s">
        <v>184</v>
      </c>
      <c r="V70" s="68" t="s">
        <v>183</v>
      </c>
      <c r="W70" s="67" t="s">
        <v>184</v>
      </c>
      <c r="X70" s="68" t="s">
        <v>183</v>
      </c>
      <c r="Y70" s="67" t="s">
        <v>184</v>
      </c>
    </row>
    <row r="71" spans="1:25">
      <c r="A71" s="66" t="s">
        <v>185</v>
      </c>
      <c r="B71" s="71">
        <v>42840</v>
      </c>
      <c r="C71" s="72">
        <v>22649</v>
      </c>
      <c r="D71" s="71">
        <v>49571</v>
      </c>
      <c r="E71" s="72">
        <v>25897</v>
      </c>
      <c r="F71" s="71">
        <v>69105</v>
      </c>
      <c r="G71" s="72">
        <v>39211</v>
      </c>
      <c r="H71" s="71">
        <v>68086</v>
      </c>
      <c r="I71" s="72">
        <v>40218</v>
      </c>
      <c r="J71" s="71">
        <v>46294</v>
      </c>
      <c r="K71" s="72">
        <v>23346</v>
      </c>
      <c r="L71" s="71">
        <v>49233</v>
      </c>
      <c r="M71" s="72">
        <v>25903</v>
      </c>
      <c r="N71" s="71">
        <v>80858</v>
      </c>
      <c r="O71" s="72">
        <v>47646</v>
      </c>
      <c r="P71" s="71">
        <v>101340</v>
      </c>
      <c r="Q71" s="72">
        <v>54852</v>
      </c>
      <c r="R71" s="71">
        <v>98435</v>
      </c>
      <c r="S71" s="72">
        <v>45703</v>
      </c>
      <c r="T71" s="71">
        <v>160812</v>
      </c>
      <c r="U71" s="72">
        <v>98819</v>
      </c>
      <c r="V71" s="71">
        <v>161534</v>
      </c>
      <c r="W71" s="72">
        <v>92387</v>
      </c>
      <c r="X71" s="71">
        <v>249224</v>
      </c>
      <c r="Y71" s="72">
        <v>120031</v>
      </c>
    </row>
    <row r="72" spans="1:25">
      <c r="A72" s="66" t="s">
        <v>186</v>
      </c>
      <c r="B72" s="71">
        <v>16748</v>
      </c>
      <c r="C72" s="72">
        <v>10158</v>
      </c>
      <c r="D72" s="71">
        <v>21637</v>
      </c>
      <c r="E72" s="72">
        <v>12184</v>
      </c>
      <c r="F72" s="71">
        <v>19923</v>
      </c>
      <c r="G72" s="72">
        <v>12212</v>
      </c>
      <c r="H72" s="71">
        <v>9969</v>
      </c>
      <c r="I72" s="72">
        <v>6661</v>
      </c>
      <c r="J72" s="71">
        <v>20138</v>
      </c>
      <c r="K72" s="72">
        <v>11302</v>
      </c>
      <c r="L72" s="71">
        <v>18743</v>
      </c>
      <c r="M72" s="72">
        <v>10985</v>
      </c>
      <c r="N72" s="71">
        <v>24446</v>
      </c>
      <c r="O72" s="72">
        <v>14696</v>
      </c>
      <c r="P72" s="71">
        <v>23785</v>
      </c>
      <c r="Q72" s="72">
        <v>12974</v>
      </c>
      <c r="R72" s="71">
        <v>25377</v>
      </c>
      <c r="S72" s="72">
        <v>13323</v>
      </c>
      <c r="T72" s="71">
        <v>26967</v>
      </c>
      <c r="U72" s="72">
        <v>14049</v>
      </c>
      <c r="V72" s="71">
        <v>36531</v>
      </c>
      <c r="W72" s="72">
        <v>23082</v>
      </c>
      <c r="X72" s="71">
        <v>38916</v>
      </c>
      <c r="Y72" s="72">
        <v>22961</v>
      </c>
    </row>
    <row r="73" spans="1:25">
      <c r="A73" s="66" t="s">
        <v>187</v>
      </c>
      <c r="B73" s="71">
        <v>11487</v>
      </c>
      <c r="C73" s="72">
        <v>8053</v>
      </c>
      <c r="D73" s="71">
        <v>10780</v>
      </c>
      <c r="E73" s="72">
        <v>7735</v>
      </c>
      <c r="F73" s="71">
        <v>11379</v>
      </c>
      <c r="G73" s="72">
        <v>8267</v>
      </c>
      <c r="H73" s="71">
        <v>9046</v>
      </c>
      <c r="I73" s="72">
        <v>6706</v>
      </c>
      <c r="J73" s="71">
        <v>9893</v>
      </c>
      <c r="K73" s="72">
        <v>6830</v>
      </c>
      <c r="L73" s="71">
        <v>11580</v>
      </c>
      <c r="M73" s="72">
        <v>8153</v>
      </c>
      <c r="N73" s="71">
        <v>9071</v>
      </c>
      <c r="O73" s="72">
        <v>6534</v>
      </c>
      <c r="P73" s="71">
        <v>10994</v>
      </c>
      <c r="Q73" s="72">
        <v>7603</v>
      </c>
      <c r="R73" s="71">
        <v>11249</v>
      </c>
      <c r="S73" s="72">
        <v>7308</v>
      </c>
      <c r="T73" s="71">
        <v>18993</v>
      </c>
      <c r="U73" s="72">
        <v>12847</v>
      </c>
      <c r="V73" s="71">
        <v>26277</v>
      </c>
      <c r="W73" s="72">
        <v>21297</v>
      </c>
      <c r="X73" s="71">
        <v>77238</v>
      </c>
      <c r="Y73" s="72">
        <v>58406</v>
      </c>
    </row>
    <row r="74" spans="1:25">
      <c r="A74" s="66" t="s">
        <v>188</v>
      </c>
      <c r="B74" s="71">
        <v>17910</v>
      </c>
      <c r="C74" s="72">
        <v>14216</v>
      </c>
      <c r="D74" s="71">
        <v>17534</v>
      </c>
      <c r="E74" s="72">
        <v>13146</v>
      </c>
      <c r="F74" s="71">
        <v>19476</v>
      </c>
      <c r="G74" s="72">
        <v>14662</v>
      </c>
      <c r="H74" s="71">
        <v>19727</v>
      </c>
      <c r="I74" s="72">
        <v>14584</v>
      </c>
      <c r="J74" s="71">
        <v>20272</v>
      </c>
      <c r="K74" s="72">
        <v>14477</v>
      </c>
      <c r="L74" s="71">
        <v>21507</v>
      </c>
      <c r="M74" s="72">
        <v>15411</v>
      </c>
      <c r="N74" s="71">
        <v>21456</v>
      </c>
      <c r="O74" s="72">
        <v>15573</v>
      </c>
      <c r="P74" s="71">
        <v>18316</v>
      </c>
      <c r="Q74" s="72">
        <v>13977</v>
      </c>
      <c r="R74" s="71">
        <v>18235</v>
      </c>
      <c r="S74" s="72">
        <v>13604</v>
      </c>
      <c r="T74" s="71">
        <v>24904</v>
      </c>
      <c r="U74" s="72">
        <v>18383</v>
      </c>
      <c r="V74" s="71">
        <v>27023</v>
      </c>
      <c r="W74" s="72">
        <v>20840</v>
      </c>
      <c r="X74" s="71">
        <v>39124</v>
      </c>
      <c r="Y74" s="72">
        <v>25351</v>
      </c>
    </row>
    <row r="75" spans="1:25">
      <c r="A75" s="66" t="s">
        <v>189</v>
      </c>
      <c r="B75" s="71">
        <v>9115</v>
      </c>
      <c r="C75" s="72">
        <v>7180</v>
      </c>
      <c r="D75" s="71">
        <v>8784</v>
      </c>
      <c r="E75" s="72">
        <v>6734</v>
      </c>
      <c r="F75" s="71">
        <v>11000</v>
      </c>
      <c r="G75" s="72">
        <v>7782</v>
      </c>
      <c r="H75" s="71">
        <v>7108</v>
      </c>
      <c r="I75" s="72">
        <v>5287</v>
      </c>
      <c r="J75" s="71">
        <v>8500</v>
      </c>
      <c r="K75" s="72">
        <v>5556</v>
      </c>
      <c r="L75" s="71">
        <v>8477</v>
      </c>
      <c r="M75" s="72">
        <v>5968</v>
      </c>
      <c r="N75" s="71">
        <v>10019</v>
      </c>
      <c r="O75" s="72">
        <v>7092</v>
      </c>
      <c r="P75" s="71">
        <v>10746</v>
      </c>
      <c r="Q75" s="72">
        <v>7511</v>
      </c>
      <c r="R75" s="71">
        <v>8979</v>
      </c>
      <c r="S75" s="72">
        <v>6765</v>
      </c>
      <c r="T75" s="71">
        <v>29918</v>
      </c>
      <c r="U75" s="72">
        <v>19698</v>
      </c>
      <c r="V75" s="71">
        <v>14207</v>
      </c>
      <c r="W75" s="72">
        <v>10252</v>
      </c>
      <c r="X75" s="71">
        <v>42221</v>
      </c>
      <c r="Y75" s="72">
        <v>26605</v>
      </c>
    </row>
    <row r="76" spans="1:25">
      <c r="A76" s="66" t="s">
        <v>190</v>
      </c>
      <c r="B76" s="71">
        <v>4992</v>
      </c>
      <c r="C76" s="72">
        <v>3595</v>
      </c>
      <c r="D76" s="71">
        <v>5265</v>
      </c>
      <c r="E76" s="72">
        <v>3549</v>
      </c>
      <c r="F76" s="71">
        <v>5060</v>
      </c>
      <c r="G76" s="72">
        <v>3601</v>
      </c>
      <c r="H76" s="71">
        <v>5988</v>
      </c>
      <c r="I76" s="72">
        <v>3859</v>
      </c>
      <c r="J76" s="71">
        <v>5784</v>
      </c>
      <c r="K76" s="72">
        <v>3524</v>
      </c>
      <c r="L76" s="71">
        <v>4865</v>
      </c>
      <c r="M76" s="72">
        <v>3203</v>
      </c>
      <c r="N76" s="71">
        <v>5632</v>
      </c>
      <c r="O76" s="72">
        <v>3610</v>
      </c>
      <c r="P76" s="71">
        <v>5807</v>
      </c>
      <c r="Q76" s="72">
        <v>3990</v>
      </c>
      <c r="R76" s="71">
        <v>6214</v>
      </c>
      <c r="S76" s="72">
        <v>3930</v>
      </c>
      <c r="T76" s="71">
        <v>11405</v>
      </c>
      <c r="U76" s="72">
        <v>8438</v>
      </c>
      <c r="V76" s="71">
        <v>9404</v>
      </c>
      <c r="W76" s="72">
        <v>6417</v>
      </c>
      <c r="X76" s="71">
        <v>13664</v>
      </c>
      <c r="Y76" s="72">
        <v>7909</v>
      </c>
    </row>
    <row r="77" spans="1:25" ht="17.45" thickBot="1">
      <c r="A77" s="82" t="s">
        <v>191</v>
      </c>
      <c r="B77" s="79">
        <v>108556</v>
      </c>
      <c r="C77" s="80">
        <v>73473</v>
      </c>
      <c r="D77" s="79">
        <v>117473</v>
      </c>
      <c r="E77" s="80">
        <v>76452</v>
      </c>
      <c r="F77" s="79">
        <v>139545</v>
      </c>
      <c r="G77" s="80">
        <v>91677</v>
      </c>
      <c r="H77" s="79">
        <v>124645</v>
      </c>
      <c r="I77" s="80">
        <v>85682</v>
      </c>
      <c r="J77" s="79">
        <v>106342</v>
      </c>
      <c r="K77" s="80">
        <v>70003</v>
      </c>
      <c r="L77" s="79">
        <v>111068</v>
      </c>
      <c r="M77" s="80">
        <v>75575</v>
      </c>
      <c r="N77" s="79">
        <v>153862</v>
      </c>
      <c r="O77" s="80">
        <v>104594</v>
      </c>
      <c r="P77" s="79">
        <v>169225</v>
      </c>
      <c r="Q77" s="80">
        <v>106741</v>
      </c>
      <c r="R77" s="79">
        <v>161560</v>
      </c>
      <c r="S77" s="80">
        <v>96073</v>
      </c>
      <c r="T77" s="79">
        <v>290647</v>
      </c>
      <c r="U77" s="80">
        <v>197136</v>
      </c>
      <c r="V77" s="79">
        <v>292246</v>
      </c>
      <c r="W77" s="80">
        <v>196552</v>
      </c>
      <c r="X77" s="79">
        <v>494645</v>
      </c>
      <c r="Y77" s="80">
        <v>286620</v>
      </c>
    </row>
    <row r="78" spans="1:25">
      <c r="A78" s="83" t="s">
        <v>198</v>
      </c>
      <c r="B78" s="162">
        <v>884249</v>
      </c>
      <c r="C78" s="196"/>
      <c r="D78" s="159">
        <v>793186</v>
      </c>
      <c r="E78" s="196"/>
      <c r="F78" s="159">
        <v>831313</v>
      </c>
      <c r="G78" s="196"/>
      <c r="H78" s="159">
        <v>731408</v>
      </c>
      <c r="I78" s="196"/>
      <c r="J78" s="159">
        <v>768023</v>
      </c>
      <c r="K78" s="196"/>
      <c r="L78" s="159">
        <v>776923</v>
      </c>
      <c r="M78" s="196"/>
      <c r="N78" s="159">
        <v>1001424</v>
      </c>
      <c r="O78" s="196"/>
      <c r="P78" s="159">
        <v>976919</v>
      </c>
      <c r="Q78" s="196"/>
      <c r="R78" s="159">
        <v>1123122</v>
      </c>
      <c r="S78" s="196"/>
      <c r="T78" s="159">
        <v>1369071</v>
      </c>
      <c r="U78" s="196"/>
      <c r="V78" s="159">
        <v>1028941</v>
      </c>
      <c r="W78" s="196"/>
      <c r="X78" s="159">
        <v>1626412</v>
      </c>
      <c r="Y78" s="197"/>
    </row>
    <row r="79" spans="1:25" ht="17.45" thickBot="1">
      <c r="A79" s="84" t="s">
        <v>193</v>
      </c>
      <c r="B79" s="156"/>
      <c r="C79" s="194"/>
      <c r="D79" s="157"/>
      <c r="E79" s="194"/>
      <c r="F79" s="157"/>
      <c r="G79" s="194"/>
      <c r="H79" s="157"/>
      <c r="I79" s="194"/>
      <c r="J79" s="157"/>
      <c r="K79" s="194"/>
      <c r="L79" s="157"/>
      <c r="M79" s="194"/>
      <c r="N79" s="157"/>
      <c r="O79" s="194"/>
      <c r="P79" s="157"/>
      <c r="Q79" s="194"/>
      <c r="R79" s="157"/>
      <c r="S79" s="194"/>
      <c r="T79" s="157"/>
      <c r="U79" s="194"/>
      <c r="V79" s="157"/>
      <c r="W79" s="194"/>
      <c r="X79" s="157"/>
      <c r="Y79" s="195"/>
    </row>
    <row r="80" spans="1: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 spans="1:28" ht="17.45" thickBot="1"/>
    <row r="82" spans="1:28">
      <c r="A82" s="70"/>
      <c r="B82" s="180">
        <v>45989</v>
      </c>
      <c r="C82" s="151"/>
      <c r="D82" s="180">
        <v>45990</v>
      </c>
      <c r="E82" s="151"/>
      <c r="F82" s="180">
        <v>45991</v>
      </c>
      <c r="G82" s="151"/>
      <c r="H82" s="180">
        <v>45992</v>
      </c>
      <c r="I82" s="151"/>
      <c r="J82" s="180">
        <v>45993</v>
      </c>
      <c r="K82" s="151"/>
      <c r="L82" s="180">
        <v>45994</v>
      </c>
      <c r="M82" s="151"/>
      <c r="N82" s="180">
        <v>45995</v>
      </c>
      <c r="O82" s="151"/>
      <c r="P82" s="180">
        <v>45996</v>
      </c>
      <c r="Q82" s="151"/>
      <c r="R82" s="180">
        <v>45997</v>
      </c>
      <c r="S82" s="151"/>
      <c r="T82" s="180">
        <v>45998</v>
      </c>
      <c r="U82" s="151"/>
      <c r="V82" s="180">
        <v>46003</v>
      </c>
      <c r="W82" s="151"/>
      <c r="X82" s="180">
        <v>46004</v>
      </c>
      <c r="Y82" s="151"/>
      <c r="Z82" s="180">
        <v>46005</v>
      </c>
      <c r="AA82" s="151"/>
    </row>
    <row r="83" spans="1:28">
      <c r="A83" s="69"/>
      <c r="B83" s="152" t="s">
        <v>261</v>
      </c>
      <c r="C83" s="153"/>
      <c r="D83" s="152" t="s">
        <v>261</v>
      </c>
      <c r="E83" s="153"/>
      <c r="F83" s="152" t="s">
        <v>261</v>
      </c>
      <c r="G83" s="153"/>
      <c r="H83" s="152" t="s">
        <v>261</v>
      </c>
      <c r="I83" s="153"/>
      <c r="J83" s="152" t="s">
        <v>261</v>
      </c>
      <c r="K83" s="153"/>
      <c r="L83" s="152" t="s">
        <v>261</v>
      </c>
      <c r="M83" s="153"/>
      <c r="N83" s="152" t="s">
        <v>261</v>
      </c>
      <c r="O83" s="153"/>
      <c r="P83" s="152" t="s">
        <v>261</v>
      </c>
      <c r="Q83" s="153"/>
      <c r="R83" s="152" t="s">
        <v>261</v>
      </c>
      <c r="S83" s="153"/>
      <c r="T83" s="152" t="s">
        <v>261</v>
      </c>
      <c r="U83" s="153"/>
      <c r="V83" s="152" t="s">
        <v>261</v>
      </c>
      <c r="W83" s="153"/>
      <c r="X83" s="152" t="s">
        <v>261</v>
      </c>
      <c r="Y83" s="153"/>
      <c r="Z83" s="152" t="s">
        <v>261</v>
      </c>
      <c r="AA83" s="153"/>
    </row>
    <row r="84" spans="1:28">
      <c r="A84" s="69"/>
      <c r="B84" s="152" t="s">
        <v>169</v>
      </c>
      <c r="C84" s="153"/>
      <c r="D84" s="152" t="s">
        <v>170</v>
      </c>
      <c r="E84" s="153"/>
      <c r="F84" s="152" t="s">
        <v>171</v>
      </c>
      <c r="G84" s="153"/>
      <c r="H84" s="152" t="s">
        <v>172</v>
      </c>
      <c r="I84" s="153"/>
      <c r="J84" s="152" t="s">
        <v>173</v>
      </c>
      <c r="K84" s="153"/>
      <c r="L84" s="152" t="s">
        <v>174</v>
      </c>
      <c r="M84" s="153"/>
      <c r="N84" s="152" t="s">
        <v>175</v>
      </c>
      <c r="O84" s="153"/>
      <c r="P84" s="152" t="s">
        <v>176</v>
      </c>
      <c r="Q84" s="153"/>
      <c r="R84" s="152" t="s">
        <v>177</v>
      </c>
      <c r="S84" s="153"/>
      <c r="T84" s="152" t="s">
        <v>178</v>
      </c>
      <c r="U84" s="153"/>
      <c r="V84" s="152" t="s">
        <v>208</v>
      </c>
      <c r="W84" s="153"/>
      <c r="X84" s="152" t="s">
        <v>209</v>
      </c>
      <c r="Y84" s="153"/>
      <c r="Z84" s="152" t="s">
        <v>210</v>
      </c>
      <c r="AA84" s="153"/>
    </row>
    <row r="85" spans="1:28">
      <c r="A85" s="69"/>
      <c r="B85" s="152" t="s">
        <v>250</v>
      </c>
      <c r="C85" s="153"/>
      <c r="D85" s="152" t="s">
        <v>251</v>
      </c>
      <c r="E85" s="153"/>
      <c r="F85" s="152" t="s">
        <v>250</v>
      </c>
      <c r="G85" s="153"/>
      <c r="H85" s="152" t="s">
        <v>251</v>
      </c>
      <c r="I85" s="153"/>
      <c r="J85" s="152" t="s">
        <v>250</v>
      </c>
      <c r="K85" s="153"/>
      <c r="L85" s="152" t="s">
        <v>251</v>
      </c>
      <c r="M85" s="153"/>
      <c r="N85" s="152" t="s">
        <v>262</v>
      </c>
      <c r="O85" s="153"/>
      <c r="P85" s="152" t="s">
        <v>263</v>
      </c>
      <c r="Q85" s="153"/>
      <c r="R85" s="152" t="s">
        <v>263</v>
      </c>
      <c r="S85" s="153"/>
      <c r="T85" s="152" t="s">
        <v>263</v>
      </c>
      <c r="U85" s="153"/>
      <c r="V85" s="152" t="s">
        <v>181</v>
      </c>
      <c r="W85" s="153"/>
      <c r="X85" s="152" t="s">
        <v>181</v>
      </c>
      <c r="Y85" s="153"/>
      <c r="Z85" s="152" t="s">
        <v>181</v>
      </c>
      <c r="AA85" s="153"/>
    </row>
    <row r="86" spans="1:28">
      <c r="A86" s="65" t="s">
        <v>182</v>
      </c>
      <c r="B86" s="68" t="s">
        <v>183</v>
      </c>
      <c r="C86" s="67" t="s">
        <v>184</v>
      </c>
      <c r="D86" s="68" t="s">
        <v>183</v>
      </c>
      <c r="E86" s="67" t="s">
        <v>184</v>
      </c>
      <c r="F86" s="68" t="s">
        <v>183</v>
      </c>
      <c r="G86" s="67" t="s">
        <v>184</v>
      </c>
      <c r="H86" s="68" t="s">
        <v>183</v>
      </c>
      <c r="I86" s="67" t="s">
        <v>184</v>
      </c>
      <c r="J86" s="68" t="s">
        <v>183</v>
      </c>
      <c r="K86" s="67" t="s">
        <v>184</v>
      </c>
      <c r="L86" s="68" t="s">
        <v>183</v>
      </c>
      <c r="M86" s="67" t="s">
        <v>184</v>
      </c>
      <c r="N86" s="68" t="s">
        <v>183</v>
      </c>
      <c r="O86" s="67" t="s">
        <v>184</v>
      </c>
      <c r="P86" s="68" t="s">
        <v>183</v>
      </c>
      <c r="Q86" s="67" t="s">
        <v>184</v>
      </c>
      <c r="R86" s="68" t="s">
        <v>183</v>
      </c>
      <c r="S86" s="67" t="s">
        <v>184</v>
      </c>
      <c r="T86" s="68" t="s">
        <v>183</v>
      </c>
      <c r="U86" s="67" t="s">
        <v>184</v>
      </c>
      <c r="V86" s="68" t="s">
        <v>183</v>
      </c>
      <c r="W86" s="67" t="s">
        <v>184</v>
      </c>
      <c r="X86" s="68" t="s">
        <v>183</v>
      </c>
      <c r="Y86" s="67" t="s">
        <v>184</v>
      </c>
      <c r="Z86" s="68" t="s">
        <v>183</v>
      </c>
      <c r="AA86" s="67" t="s">
        <v>184</v>
      </c>
    </row>
    <row r="87" spans="1:28">
      <c r="A87" s="66" t="s">
        <v>185</v>
      </c>
      <c r="B87" s="71">
        <v>99236</v>
      </c>
      <c r="C87" s="72">
        <v>58056</v>
      </c>
      <c r="D87" s="71">
        <v>88469</v>
      </c>
      <c r="E87" s="72">
        <v>52222</v>
      </c>
      <c r="F87" s="71">
        <v>84838</v>
      </c>
      <c r="G87" s="72">
        <v>49152</v>
      </c>
      <c r="H87" s="71">
        <v>114466</v>
      </c>
      <c r="I87" s="72">
        <v>66368</v>
      </c>
      <c r="J87" s="71">
        <v>94323</v>
      </c>
      <c r="K87" s="72">
        <v>58755</v>
      </c>
      <c r="L87" s="71">
        <v>125195</v>
      </c>
      <c r="M87" s="72">
        <v>61936</v>
      </c>
      <c r="N87" s="71">
        <v>39091</v>
      </c>
      <c r="O87" s="72">
        <v>28133</v>
      </c>
      <c r="P87" s="71">
        <v>20694</v>
      </c>
      <c r="Q87" s="72">
        <v>13923</v>
      </c>
      <c r="R87" s="71">
        <v>19085</v>
      </c>
      <c r="S87" s="72">
        <v>12579</v>
      </c>
      <c r="T87" s="71">
        <v>25129</v>
      </c>
      <c r="U87" s="72">
        <v>14896</v>
      </c>
      <c r="V87" s="71">
        <v>123879</v>
      </c>
      <c r="W87" s="72">
        <v>69789</v>
      </c>
      <c r="X87" s="71">
        <v>217196</v>
      </c>
      <c r="Y87" s="72">
        <v>109807</v>
      </c>
      <c r="Z87" s="71">
        <v>230259</v>
      </c>
      <c r="AA87" s="72">
        <v>153389</v>
      </c>
    </row>
    <row r="88" spans="1:28">
      <c r="A88" s="66" t="s">
        <v>186</v>
      </c>
      <c r="B88" s="71">
        <v>23710</v>
      </c>
      <c r="C88" s="72">
        <v>14069</v>
      </c>
      <c r="D88" s="71">
        <v>26296</v>
      </c>
      <c r="E88" s="72">
        <v>17349</v>
      </c>
      <c r="F88" s="71">
        <v>25416</v>
      </c>
      <c r="G88" s="72">
        <v>17246</v>
      </c>
      <c r="H88" s="71">
        <v>31426</v>
      </c>
      <c r="I88" s="72">
        <v>21367</v>
      </c>
      <c r="J88" s="71">
        <v>34635</v>
      </c>
      <c r="K88" s="72">
        <v>22459</v>
      </c>
      <c r="L88" s="71">
        <v>38129</v>
      </c>
      <c r="M88" s="72">
        <v>22751</v>
      </c>
      <c r="N88" s="71">
        <v>7831</v>
      </c>
      <c r="O88" s="72">
        <v>4892</v>
      </c>
      <c r="P88" s="71">
        <v>39337</v>
      </c>
      <c r="Q88" s="72">
        <v>23691</v>
      </c>
      <c r="R88" s="71">
        <v>27733</v>
      </c>
      <c r="S88" s="72">
        <v>19130</v>
      </c>
      <c r="T88" s="71">
        <v>40959</v>
      </c>
      <c r="U88" s="72">
        <v>22709</v>
      </c>
      <c r="V88" s="71">
        <v>38387</v>
      </c>
      <c r="W88" s="72">
        <v>23505</v>
      </c>
      <c r="X88" s="71">
        <v>56961</v>
      </c>
      <c r="Y88" s="72">
        <v>35192</v>
      </c>
      <c r="Z88" s="71">
        <v>106105</v>
      </c>
      <c r="AA88" s="72">
        <v>61972</v>
      </c>
    </row>
    <row r="89" spans="1:28">
      <c r="A89" s="66" t="s">
        <v>187</v>
      </c>
      <c r="B89" s="71">
        <v>21045</v>
      </c>
      <c r="C89" s="72">
        <v>13733</v>
      </c>
      <c r="D89" s="71">
        <v>13336</v>
      </c>
      <c r="E89" s="72">
        <v>11015</v>
      </c>
      <c r="F89" s="71">
        <v>17899</v>
      </c>
      <c r="G89" s="72">
        <v>14436</v>
      </c>
      <c r="H89" s="71">
        <v>23219</v>
      </c>
      <c r="I89" s="72">
        <v>18189</v>
      </c>
      <c r="J89" s="71">
        <v>21690</v>
      </c>
      <c r="K89" s="72">
        <v>16695</v>
      </c>
      <c r="L89" s="71">
        <v>21440</v>
      </c>
      <c r="M89" s="72">
        <v>14313</v>
      </c>
      <c r="N89" s="71">
        <v>4910</v>
      </c>
      <c r="O89" s="72">
        <v>3798</v>
      </c>
      <c r="P89" s="71">
        <v>14455</v>
      </c>
      <c r="Q89" s="72">
        <v>11075</v>
      </c>
      <c r="R89" s="71">
        <v>13869</v>
      </c>
      <c r="S89" s="72">
        <v>10874</v>
      </c>
      <c r="T89" s="71">
        <v>19915</v>
      </c>
      <c r="U89" s="72">
        <v>13998</v>
      </c>
      <c r="V89" s="71">
        <v>38128</v>
      </c>
      <c r="W89" s="72">
        <v>26578</v>
      </c>
      <c r="X89" s="71">
        <v>40395</v>
      </c>
      <c r="Y89" s="72">
        <v>32951</v>
      </c>
      <c r="Z89" s="71">
        <v>49917</v>
      </c>
      <c r="AA89" s="72">
        <v>38667</v>
      </c>
    </row>
    <row r="90" spans="1:28">
      <c r="A90" s="66" t="s">
        <v>188</v>
      </c>
      <c r="B90" s="71">
        <v>10851</v>
      </c>
      <c r="C90" s="72">
        <v>8638</v>
      </c>
      <c r="D90" s="71">
        <v>13818</v>
      </c>
      <c r="E90" s="72">
        <v>11612</v>
      </c>
      <c r="F90" s="71">
        <v>13684</v>
      </c>
      <c r="G90" s="72">
        <v>10123</v>
      </c>
      <c r="H90" s="71">
        <v>17671</v>
      </c>
      <c r="I90" s="72">
        <v>13955</v>
      </c>
      <c r="J90" s="71">
        <v>14282</v>
      </c>
      <c r="K90" s="72">
        <v>10749</v>
      </c>
      <c r="L90" s="71">
        <v>17866</v>
      </c>
      <c r="M90" s="72">
        <v>12417</v>
      </c>
      <c r="N90" s="71">
        <v>8618</v>
      </c>
      <c r="O90" s="72">
        <v>7094</v>
      </c>
      <c r="P90" s="71">
        <v>13951</v>
      </c>
      <c r="Q90" s="72">
        <v>11031</v>
      </c>
      <c r="R90" s="71">
        <v>13130</v>
      </c>
      <c r="S90" s="72">
        <v>10682</v>
      </c>
      <c r="T90" s="71">
        <v>14480</v>
      </c>
      <c r="U90" s="72">
        <v>11043</v>
      </c>
      <c r="V90" s="71">
        <v>23169</v>
      </c>
      <c r="W90" s="72">
        <v>16076</v>
      </c>
      <c r="X90" s="71">
        <v>25147</v>
      </c>
      <c r="Y90" s="72">
        <v>17874</v>
      </c>
      <c r="Z90" s="71">
        <v>30818</v>
      </c>
      <c r="AA90" s="72">
        <v>22433</v>
      </c>
    </row>
    <row r="91" spans="1:28">
      <c r="A91" s="66" t="s">
        <v>189</v>
      </c>
      <c r="B91" s="71">
        <v>10797</v>
      </c>
      <c r="C91" s="72">
        <v>7063</v>
      </c>
      <c r="D91" s="71">
        <v>8438</v>
      </c>
      <c r="E91" s="72">
        <v>7263</v>
      </c>
      <c r="F91" s="71">
        <v>9544</v>
      </c>
      <c r="G91" s="72">
        <v>7862</v>
      </c>
      <c r="H91" s="71">
        <v>8123</v>
      </c>
      <c r="I91" s="72">
        <v>6673</v>
      </c>
      <c r="J91" s="71">
        <v>10188</v>
      </c>
      <c r="K91" s="72">
        <v>7747</v>
      </c>
      <c r="L91" s="71">
        <v>8080</v>
      </c>
      <c r="M91" s="72">
        <v>6174</v>
      </c>
      <c r="N91" s="71">
        <v>585</v>
      </c>
      <c r="O91" s="72">
        <v>515</v>
      </c>
      <c r="P91" s="71">
        <v>7822</v>
      </c>
      <c r="Q91" s="72">
        <v>6387</v>
      </c>
      <c r="R91" s="71">
        <v>7881</v>
      </c>
      <c r="S91" s="72">
        <v>6654</v>
      </c>
      <c r="T91" s="71">
        <v>8824</v>
      </c>
      <c r="U91" s="72">
        <v>7294</v>
      </c>
      <c r="V91" s="71">
        <v>10822</v>
      </c>
      <c r="W91" s="72">
        <v>8490</v>
      </c>
      <c r="X91" s="71">
        <v>12207</v>
      </c>
      <c r="Y91" s="72">
        <v>8640</v>
      </c>
      <c r="Z91" s="71">
        <v>27405</v>
      </c>
      <c r="AA91" s="72">
        <v>20054</v>
      </c>
    </row>
    <row r="92" spans="1:28">
      <c r="A92" s="66" t="s">
        <v>190</v>
      </c>
      <c r="B92" s="71">
        <v>3473</v>
      </c>
      <c r="C92" s="72">
        <v>2536</v>
      </c>
      <c r="D92" s="71">
        <v>3273</v>
      </c>
      <c r="E92" s="72">
        <v>2522</v>
      </c>
      <c r="F92" s="71">
        <v>4274</v>
      </c>
      <c r="G92" s="72">
        <v>3021</v>
      </c>
      <c r="H92" s="71">
        <v>4143</v>
      </c>
      <c r="I92" s="72">
        <v>3114</v>
      </c>
      <c r="J92" s="71">
        <v>4152</v>
      </c>
      <c r="K92" s="72">
        <v>3041</v>
      </c>
      <c r="L92" s="71">
        <v>4553</v>
      </c>
      <c r="M92" s="72">
        <v>3109</v>
      </c>
      <c r="N92" s="71">
        <v>2034</v>
      </c>
      <c r="O92" s="72">
        <v>1755</v>
      </c>
      <c r="P92" s="71">
        <v>4346</v>
      </c>
      <c r="Q92" s="72">
        <v>3341</v>
      </c>
      <c r="R92" s="71">
        <v>4598</v>
      </c>
      <c r="S92" s="72">
        <v>3380</v>
      </c>
      <c r="T92" s="71">
        <v>5707</v>
      </c>
      <c r="U92" s="72">
        <v>3632</v>
      </c>
      <c r="V92" s="71">
        <v>14417</v>
      </c>
      <c r="W92" s="72">
        <v>10085</v>
      </c>
      <c r="X92" s="71">
        <v>14089</v>
      </c>
      <c r="Y92" s="72">
        <v>9481</v>
      </c>
      <c r="Z92" s="71">
        <v>15632</v>
      </c>
      <c r="AA92" s="72">
        <v>11168</v>
      </c>
    </row>
    <row r="93" spans="1:28" ht="17.45" thickBot="1">
      <c r="A93" s="82" t="s">
        <v>191</v>
      </c>
      <c r="B93" s="79">
        <v>163625</v>
      </c>
      <c r="C93" s="80">
        <v>108536</v>
      </c>
      <c r="D93" s="79">
        <v>153388</v>
      </c>
      <c r="E93" s="80">
        <v>108074</v>
      </c>
      <c r="F93" s="79">
        <v>156565</v>
      </c>
      <c r="G93" s="80">
        <v>106943</v>
      </c>
      <c r="H93" s="79">
        <v>205263</v>
      </c>
      <c r="I93" s="80">
        <v>135490</v>
      </c>
      <c r="J93" s="79">
        <v>184561</v>
      </c>
      <c r="K93" s="80">
        <v>124237</v>
      </c>
      <c r="L93" s="79">
        <v>219831</v>
      </c>
      <c r="M93" s="80">
        <v>126796</v>
      </c>
      <c r="N93" s="79">
        <v>62639</v>
      </c>
      <c r="O93" s="80">
        <v>47732</v>
      </c>
      <c r="P93" s="79">
        <v>100996</v>
      </c>
      <c r="Q93" s="80">
        <v>75159</v>
      </c>
      <c r="R93" s="79">
        <v>87195</v>
      </c>
      <c r="S93" s="80">
        <v>69115</v>
      </c>
      <c r="T93" s="79">
        <v>121048</v>
      </c>
      <c r="U93" s="80">
        <v>80174</v>
      </c>
      <c r="V93" s="79">
        <v>249872</v>
      </c>
      <c r="W93" s="80">
        <v>169579</v>
      </c>
      <c r="X93" s="79">
        <v>371391</v>
      </c>
      <c r="Y93" s="80">
        <v>235115</v>
      </c>
      <c r="Z93" s="79">
        <v>488957</v>
      </c>
      <c r="AA93" s="80">
        <v>339167</v>
      </c>
    </row>
    <row r="94" spans="1:28">
      <c r="A94" s="83" t="s">
        <v>198</v>
      </c>
      <c r="B94" s="162">
        <v>819368</v>
      </c>
      <c r="C94" s="196"/>
      <c r="D94" s="159">
        <v>899738</v>
      </c>
      <c r="E94" s="196"/>
      <c r="F94" s="159">
        <v>886291</v>
      </c>
      <c r="G94" s="196"/>
      <c r="H94" s="159">
        <v>1217443</v>
      </c>
      <c r="I94" s="196"/>
      <c r="J94" s="159">
        <v>944117</v>
      </c>
      <c r="K94" s="196"/>
      <c r="L94" s="159">
        <v>972908</v>
      </c>
      <c r="M94" s="196"/>
      <c r="N94" s="159">
        <v>588805</v>
      </c>
      <c r="O94" s="196"/>
      <c r="P94" s="159">
        <v>797281</v>
      </c>
      <c r="Q94" s="196"/>
      <c r="R94" s="159">
        <v>602280</v>
      </c>
      <c r="S94" s="196"/>
      <c r="T94" s="159">
        <v>675185</v>
      </c>
      <c r="U94" s="196"/>
      <c r="V94" s="159">
        <v>2005944</v>
      </c>
      <c r="W94" s="196"/>
      <c r="X94" s="159">
        <v>1603678</v>
      </c>
      <c r="Y94" s="196"/>
      <c r="Z94" s="159">
        <v>2120774</v>
      </c>
      <c r="AA94" s="197"/>
      <c r="AB94" s="72"/>
    </row>
    <row r="95" spans="1:28" ht="17.45" thickBot="1">
      <c r="A95" s="84" t="s">
        <v>193</v>
      </c>
      <c r="B95" s="156">
        <v>5792718</v>
      </c>
      <c r="C95" s="194"/>
      <c r="D95" s="157">
        <v>5627957</v>
      </c>
      <c r="E95" s="194"/>
      <c r="F95" s="157">
        <v>5848001</v>
      </c>
      <c r="G95" s="194"/>
      <c r="H95" s="157">
        <v>5804264</v>
      </c>
      <c r="I95" s="194"/>
      <c r="J95" s="157">
        <v>6114644</v>
      </c>
      <c r="K95" s="194"/>
      <c r="L95" s="157">
        <v>5901036</v>
      </c>
      <c r="M95" s="194"/>
      <c r="N95" s="190" t="s">
        <v>7</v>
      </c>
      <c r="O95" s="198"/>
      <c r="P95" s="157">
        <v>5964587</v>
      </c>
      <c r="Q95" s="194"/>
      <c r="R95" s="157">
        <v>6057528</v>
      </c>
      <c r="S95" s="194"/>
      <c r="T95" s="157">
        <v>6090628</v>
      </c>
      <c r="U95" s="194"/>
      <c r="V95" s="157">
        <v>6057504</v>
      </c>
      <c r="W95" s="194"/>
      <c r="X95" s="157">
        <v>6615269</v>
      </c>
      <c r="Y95" s="194"/>
      <c r="Z95" s="157">
        <v>7224935</v>
      </c>
      <c r="AA95" s="195"/>
      <c r="AB95" s="72"/>
    </row>
    <row r="96" spans="1:28"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</row>
    <row r="97" spans="1:1">
      <c r="A97" s="89" t="s">
        <v>220</v>
      </c>
    </row>
  </sheetData>
  <mergeCells count="535">
    <mergeCell ref="V82:W82"/>
    <mergeCell ref="V83:W83"/>
    <mergeCell ref="V85:W85"/>
    <mergeCell ref="V94:W94"/>
    <mergeCell ref="V95:W95"/>
    <mergeCell ref="X82:Y82"/>
    <mergeCell ref="X83:Y83"/>
    <mergeCell ref="X85:Y85"/>
    <mergeCell ref="X94:Y94"/>
    <mergeCell ref="X95:Y95"/>
    <mergeCell ref="V84:W84"/>
    <mergeCell ref="X84:Y84"/>
    <mergeCell ref="R82:S82"/>
    <mergeCell ref="R83:S83"/>
    <mergeCell ref="R85:S85"/>
    <mergeCell ref="R94:S94"/>
    <mergeCell ref="R95:S95"/>
    <mergeCell ref="T82:U82"/>
    <mergeCell ref="T83:U83"/>
    <mergeCell ref="T85:U85"/>
    <mergeCell ref="T94:U94"/>
    <mergeCell ref="T95:U95"/>
    <mergeCell ref="R84:S84"/>
    <mergeCell ref="T84:U84"/>
    <mergeCell ref="N82:O82"/>
    <mergeCell ref="N83:O83"/>
    <mergeCell ref="N85:O85"/>
    <mergeCell ref="N94:O94"/>
    <mergeCell ref="N95:O95"/>
    <mergeCell ref="P82:Q82"/>
    <mergeCell ref="P83:Q83"/>
    <mergeCell ref="P85:Q85"/>
    <mergeCell ref="P94:Q94"/>
    <mergeCell ref="P95:Q95"/>
    <mergeCell ref="N84:O84"/>
    <mergeCell ref="P84:Q84"/>
    <mergeCell ref="J82:K82"/>
    <mergeCell ref="J83:K83"/>
    <mergeCell ref="J85:K85"/>
    <mergeCell ref="J94:K94"/>
    <mergeCell ref="J95:K95"/>
    <mergeCell ref="L82:M82"/>
    <mergeCell ref="L83:M83"/>
    <mergeCell ref="L85:M85"/>
    <mergeCell ref="L94:M94"/>
    <mergeCell ref="L95:M95"/>
    <mergeCell ref="J84:K84"/>
    <mergeCell ref="L84:M84"/>
    <mergeCell ref="F82:G82"/>
    <mergeCell ref="F83:G83"/>
    <mergeCell ref="F85:G85"/>
    <mergeCell ref="F94:G94"/>
    <mergeCell ref="F95:G95"/>
    <mergeCell ref="H82:I82"/>
    <mergeCell ref="H83:I83"/>
    <mergeCell ref="H85:I85"/>
    <mergeCell ref="H94:I94"/>
    <mergeCell ref="H95:I95"/>
    <mergeCell ref="F84:G84"/>
    <mergeCell ref="H84:I84"/>
    <mergeCell ref="B82:C82"/>
    <mergeCell ref="B83:C83"/>
    <mergeCell ref="B85:C85"/>
    <mergeCell ref="B94:C94"/>
    <mergeCell ref="B95:C95"/>
    <mergeCell ref="D82:E82"/>
    <mergeCell ref="D83:E83"/>
    <mergeCell ref="D85:E85"/>
    <mergeCell ref="D94:E94"/>
    <mergeCell ref="D95:E95"/>
    <mergeCell ref="B84:C84"/>
    <mergeCell ref="D84:E84"/>
    <mergeCell ref="V66:W66"/>
    <mergeCell ref="V67:W67"/>
    <mergeCell ref="V69:W69"/>
    <mergeCell ref="V78:W78"/>
    <mergeCell ref="V79:W79"/>
    <mergeCell ref="X66:Y66"/>
    <mergeCell ref="X67:Y67"/>
    <mergeCell ref="X69:Y69"/>
    <mergeCell ref="X78:Y78"/>
    <mergeCell ref="X79:Y79"/>
    <mergeCell ref="V68:W68"/>
    <mergeCell ref="X68:Y68"/>
    <mergeCell ref="R66:S66"/>
    <mergeCell ref="R67:S67"/>
    <mergeCell ref="R69:S69"/>
    <mergeCell ref="R78:S78"/>
    <mergeCell ref="R79:S79"/>
    <mergeCell ref="T66:U66"/>
    <mergeCell ref="T67:U67"/>
    <mergeCell ref="T69:U69"/>
    <mergeCell ref="T78:U78"/>
    <mergeCell ref="T79:U79"/>
    <mergeCell ref="R68:S68"/>
    <mergeCell ref="T68:U68"/>
    <mergeCell ref="N66:O66"/>
    <mergeCell ref="N67:O67"/>
    <mergeCell ref="N69:O69"/>
    <mergeCell ref="N78:O78"/>
    <mergeCell ref="N79:O79"/>
    <mergeCell ref="P66:Q66"/>
    <mergeCell ref="P67:Q67"/>
    <mergeCell ref="P69:Q69"/>
    <mergeCell ref="P78:Q78"/>
    <mergeCell ref="P79:Q79"/>
    <mergeCell ref="N68:O68"/>
    <mergeCell ref="P68:Q68"/>
    <mergeCell ref="J66:K66"/>
    <mergeCell ref="J67:K67"/>
    <mergeCell ref="J69:K69"/>
    <mergeCell ref="J78:K78"/>
    <mergeCell ref="J79:K79"/>
    <mergeCell ref="L66:M66"/>
    <mergeCell ref="L67:M67"/>
    <mergeCell ref="L69:M69"/>
    <mergeCell ref="L78:M78"/>
    <mergeCell ref="L79:M79"/>
    <mergeCell ref="J68:K68"/>
    <mergeCell ref="L68:M68"/>
    <mergeCell ref="F66:G66"/>
    <mergeCell ref="F67:G67"/>
    <mergeCell ref="F69:G69"/>
    <mergeCell ref="F78:G78"/>
    <mergeCell ref="F79:G79"/>
    <mergeCell ref="H66:I66"/>
    <mergeCell ref="H67:I67"/>
    <mergeCell ref="H69:I69"/>
    <mergeCell ref="H78:I78"/>
    <mergeCell ref="H79:I79"/>
    <mergeCell ref="F68:G68"/>
    <mergeCell ref="H68:I68"/>
    <mergeCell ref="B66:C66"/>
    <mergeCell ref="B67:C67"/>
    <mergeCell ref="B69:C69"/>
    <mergeCell ref="B78:C78"/>
    <mergeCell ref="B79:C79"/>
    <mergeCell ref="D66:E66"/>
    <mergeCell ref="D67:E67"/>
    <mergeCell ref="D69:E69"/>
    <mergeCell ref="D78:E78"/>
    <mergeCell ref="D79:E79"/>
    <mergeCell ref="B68:C68"/>
    <mergeCell ref="D68:E68"/>
    <mergeCell ref="V49:W49"/>
    <mergeCell ref="V50:W50"/>
    <mergeCell ref="V52:W52"/>
    <mergeCell ref="V61:W61"/>
    <mergeCell ref="V63:W63"/>
    <mergeCell ref="X49:Y49"/>
    <mergeCell ref="X50:Y50"/>
    <mergeCell ref="X52:Y52"/>
    <mergeCell ref="X61:Y61"/>
    <mergeCell ref="X63:Y63"/>
    <mergeCell ref="V51:W51"/>
    <mergeCell ref="X51:Y51"/>
    <mergeCell ref="V62:W62"/>
    <mergeCell ref="X62:Y62"/>
    <mergeCell ref="R49:S49"/>
    <mergeCell ref="R50:S50"/>
    <mergeCell ref="R52:S52"/>
    <mergeCell ref="R61:S61"/>
    <mergeCell ref="R63:S63"/>
    <mergeCell ref="T49:U49"/>
    <mergeCell ref="T50:U50"/>
    <mergeCell ref="T52:U52"/>
    <mergeCell ref="T61:U61"/>
    <mergeCell ref="T63:U63"/>
    <mergeCell ref="R51:S51"/>
    <mergeCell ref="T51:U51"/>
    <mergeCell ref="R62:S62"/>
    <mergeCell ref="T62:U62"/>
    <mergeCell ref="N49:O49"/>
    <mergeCell ref="N50:O50"/>
    <mergeCell ref="N52:O52"/>
    <mergeCell ref="N61:O61"/>
    <mergeCell ref="N63:O63"/>
    <mergeCell ref="P49:Q49"/>
    <mergeCell ref="P50:Q50"/>
    <mergeCell ref="P52:Q52"/>
    <mergeCell ref="P61:Q61"/>
    <mergeCell ref="P63:Q63"/>
    <mergeCell ref="N51:O51"/>
    <mergeCell ref="P51:Q51"/>
    <mergeCell ref="N62:O62"/>
    <mergeCell ref="P62:Q62"/>
    <mergeCell ref="J49:K49"/>
    <mergeCell ref="J50:K50"/>
    <mergeCell ref="J52:K52"/>
    <mergeCell ref="J61:K61"/>
    <mergeCell ref="J63:K63"/>
    <mergeCell ref="L49:M49"/>
    <mergeCell ref="L50:M50"/>
    <mergeCell ref="L52:M52"/>
    <mergeCell ref="L61:M61"/>
    <mergeCell ref="L63:M63"/>
    <mergeCell ref="J51:K51"/>
    <mergeCell ref="L51:M51"/>
    <mergeCell ref="J62:K62"/>
    <mergeCell ref="L62:M62"/>
    <mergeCell ref="F49:G49"/>
    <mergeCell ref="F50:G50"/>
    <mergeCell ref="F52:G52"/>
    <mergeCell ref="F61:G61"/>
    <mergeCell ref="F63:G63"/>
    <mergeCell ref="H49:I49"/>
    <mergeCell ref="H50:I50"/>
    <mergeCell ref="H52:I52"/>
    <mergeCell ref="H61:I61"/>
    <mergeCell ref="H63:I63"/>
    <mergeCell ref="F51:G51"/>
    <mergeCell ref="H51:I51"/>
    <mergeCell ref="F62:G62"/>
    <mergeCell ref="H62:I62"/>
    <mergeCell ref="B49:C49"/>
    <mergeCell ref="B50:C50"/>
    <mergeCell ref="B52:C52"/>
    <mergeCell ref="B61:C61"/>
    <mergeCell ref="B63:C63"/>
    <mergeCell ref="D49:E49"/>
    <mergeCell ref="D50:E50"/>
    <mergeCell ref="D52:E52"/>
    <mergeCell ref="D61:E61"/>
    <mergeCell ref="D63:E63"/>
    <mergeCell ref="B51:C51"/>
    <mergeCell ref="D51:E51"/>
    <mergeCell ref="B62:C62"/>
    <mergeCell ref="D62:E62"/>
    <mergeCell ref="V33:W33"/>
    <mergeCell ref="V34:W34"/>
    <mergeCell ref="V36:W36"/>
    <mergeCell ref="V45:W45"/>
    <mergeCell ref="V46:W46"/>
    <mergeCell ref="X33:Y33"/>
    <mergeCell ref="X34:Y34"/>
    <mergeCell ref="X36:Y36"/>
    <mergeCell ref="X45:Y45"/>
    <mergeCell ref="X46:Y46"/>
    <mergeCell ref="V35:W35"/>
    <mergeCell ref="X35:Y35"/>
    <mergeCell ref="R33:S33"/>
    <mergeCell ref="R34:S34"/>
    <mergeCell ref="R36:S36"/>
    <mergeCell ref="R45:S45"/>
    <mergeCell ref="R46:S46"/>
    <mergeCell ref="T33:U33"/>
    <mergeCell ref="T34:U34"/>
    <mergeCell ref="T36:U36"/>
    <mergeCell ref="T45:U45"/>
    <mergeCell ref="T46:U46"/>
    <mergeCell ref="R35:S35"/>
    <mergeCell ref="T35:U35"/>
    <mergeCell ref="N33:O33"/>
    <mergeCell ref="N34:O34"/>
    <mergeCell ref="N36:O36"/>
    <mergeCell ref="N45:O45"/>
    <mergeCell ref="N46:O46"/>
    <mergeCell ref="P33:Q33"/>
    <mergeCell ref="P34:Q34"/>
    <mergeCell ref="P36:Q36"/>
    <mergeCell ref="P45:Q45"/>
    <mergeCell ref="P46:Q46"/>
    <mergeCell ref="N35:O35"/>
    <mergeCell ref="P35:Q35"/>
    <mergeCell ref="J33:K33"/>
    <mergeCell ref="J34:K34"/>
    <mergeCell ref="J36:K36"/>
    <mergeCell ref="J45:K45"/>
    <mergeCell ref="J46:K46"/>
    <mergeCell ref="L33:M33"/>
    <mergeCell ref="L34:M34"/>
    <mergeCell ref="L36:M36"/>
    <mergeCell ref="L45:M45"/>
    <mergeCell ref="L46:M46"/>
    <mergeCell ref="J35:K35"/>
    <mergeCell ref="L35:M35"/>
    <mergeCell ref="F33:G33"/>
    <mergeCell ref="F34:G34"/>
    <mergeCell ref="F36:G36"/>
    <mergeCell ref="F45:G45"/>
    <mergeCell ref="F46:G46"/>
    <mergeCell ref="H33:I33"/>
    <mergeCell ref="H34:I34"/>
    <mergeCell ref="H36:I36"/>
    <mergeCell ref="H45:I45"/>
    <mergeCell ref="H46:I46"/>
    <mergeCell ref="F35:G35"/>
    <mergeCell ref="H35:I35"/>
    <mergeCell ref="B33:C33"/>
    <mergeCell ref="B34:C34"/>
    <mergeCell ref="B36:C36"/>
    <mergeCell ref="B45:C45"/>
    <mergeCell ref="B46:C46"/>
    <mergeCell ref="D33:E33"/>
    <mergeCell ref="D34:E34"/>
    <mergeCell ref="D36:E36"/>
    <mergeCell ref="D45:E45"/>
    <mergeCell ref="D46:E46"/>
    <mergeCell ref="B35:C35"/>
    <mergeCell ref="D35:E35"/>
    <mergeCell ref="V17:W17"/>
    <mergeCell ref="V18:W18"/>
    <mergeCell ref="V20:W20"/>
    <mergeCell ref="V29:W29"/>
    <mergeCell ref="V30:W30"/>
    <mergeCell ref="X17:Y17"/>
    <mergeCell ref="X18:Y18"/>
    <mergeCell ref="X20:Y20"/>
    <mergeCell ref="X29:Y29"/>
    <mergeCell ref="X30:Y30"/>
    <mergeCell ref="V19:W19"/>
    <mergeCell ref="X19:Y19"/>
    <mergeCell ref="R17:S17"/>
    <mergeCell ref="R18:S18"/>
    <mergeCell ref="R20:S20"/>
    <mergeCell ref="R29:S29"/>
    <mergeCell ref="R30:S30"/>
    <mergeCell ref="T17:U17"/>
    <mergeCell ref="T18:U18"/>
    <mergeCell ref="T20:U20"/>
    <mergeCell ref="T29:U29"/>
    <mergeCell ref="T30:U30"/>
    <mergeCell ref="R19:S19"/>
    <mergeCell ref="T19:U19"/>
    <mergeCell ref="N17:O17"/>
    <mergeCell ref="N18:O18"/>
    <mergeCell ref="N20:O20"/>
    <mergeCell ref="N29:O29"/>
    <mergeCell ref="N30:O30"/>
    <mergeCell ref="P17:Q17"/>
    <mergeCell ref="P18:Q18"/>
    <mergeCell ref="P20:Q20"/>
    <mergeCell ref="P29:Q29"/>
    <mergeCell ref="P30:Q30"/>
    <mergeCell ref="N19:O19"/>
    <mergeCell ref="P19:Q19"/>
    <mergeCell ref="J17:K17"/>
    <mergeCell ref="J18:K18"/>
    <mergeCell ref="J20:K20"/>
    <mergeCell ref="J29:K29"/>
    <mergeCell ref="J30:K30"/>
    <mergeCell ref="L17:M17"/>
    <mergeCell ref="L18:M18"/>
    <mergeCell ref="L20:M20"/>
    <mergeCell ref="L29:M29"/>
    <mergeCell ref="L30:M30"/>
    <mergeCell ref="J19:K19"/>
    <mergeCell ref="L19:M19"/>
    <mergeCell ref="F17:G17"/>
    <mergeCell ref="F18:G18"/>
    <mergeCell ref="F20:G20"/>
    <mergeCell ref="F29:G29"/>
    <mergeCell ref="F30:G30"/>
    <mergeCell ref="H17:I17"/>
    <mergeCell ref="H18:I18"/>
    <mergeCell ref="H20:I20"/>
    <mergeCell ref="H29:I29"/>
    <mergeCell ref="H30:I30"/>
    <mergeCell ref="F19:G19"/>
    <mergeCell ref="H19:I19"/>
    <mergeCell ref="B17:C17"/>
    <mergeCell ref="B18:C18"/>
    <mergeCell ref="B20:C20"/>
    <mergeCell ref="B29:C29"/>
    <mergeCell ref="B30:C30"/>
    <mergeCell ref="D17:E17"/>
    <mergeCell ref="D18:E18"/>
    <mergeCell ref="D20:E20"/>
    <mergeCell ref="D29:E29"/>
    <mergeCell ref="D30:E30"/>
    <mergeCell ref="B19:C19"/>
    <mergeCell ref="D19:E19"/>
    <mergeCell ref="N1:O1"/>
    <mergeCell ref="N2:O2"/>
    <mergeCell ref="N4:O4"/>
    <mergeCell ref="N13:O13"/>
    <mergeCell ref="N14:O14"/>
    <mergeCell ref="P1:Q1"/>
    <mergeCell ref="P2:Q2"/>
    <mergeCell ref="P4:Q4"/>
    <mergeCell ref="P13:Q13"/>
    <mergeCell ref="P14:Q14"/>
    <mergeCell ref="N3:O3"/>
    <mergeCell ref="P3:Q3"/>
    <mergeCell ref="J1:K1"/>
    <mergeCell ref="J2:K2"/>
    <mergeCell ref="J4:K4"/>
    <mergeCell ref="J13:K13"/>
    <mergeCell ref="J14:K14"/>
    <mergeCell ref="L1:M1"/>
    <mergeCell ref="L2:M2"/>
    <mergeCell ref="L4:M4"/>
    <mergeCell ref="L13:M13"/>
    <mergeCell ref="L14:M14"/>
    <mergeCell ref="J3:K3"/>
    <mergeCell ref="L3:M3"/>
    <mergeCell ref="F1:G1"/>
    <mergeCell ref="F2:G2"/>
    <mergeCell ref="F4:G4"/>
    <mergeCell ref="F13:G13"/>
    <mergeCell ref="F14:G14"/>
    <mergeCell ref="H1:I1"/>
    <mergeCell ref="H2:I2"/>
    <mergeCell ref="H4:I4"/>
    <mergeCell ref="H13:I13"/>
    <mergeCell ref="H14:I14"/>
    <mergeCell ref="F3:G3"/>
    <mergeCell ref="H3:I3"/>
    <mergeCell ref="B1:C1"/>
    <mergeCell ref="B2:C2"/>
    <mergeCell ref="B4:C4"/>
    <mergeCell ref="B13:C13"/>
    <mergeCell ref="B14:C14"/>
    <mergeCell ref="D1:E1"/>
    <mergeCell ref="D2:E2"/>
    <mergeCell ref="D4:E4"/>
    <mergeCell ref="D13:E13"/>
    <mergeCell ref="D14:E14"/>
    <mergeCell ref="B3:C3"/>
    <mergeCell ref="D3:E3"/>
    <mergeCell ref="Z17:AA17"/>
    <mergeCell ref="Z18:AA18"/>
    <mergeCell ref="Z19:AA19"/>
    <mergeCell ref="Z20:AA20"/>
    <mergeCell ref="Z29:AA29"/>
    <mergeCell ref="Z30:AA30"/>
    <mergeCell ref="AB17:AC17"/>
    <mergeCell ref="AB18:AC18"/>
    <mergeCell ref="AB19:AC19"/>
    <mergeCell ref="AB20:AC20"/>
    <mergeCell ref="AB29:AC29"/>
    <mergeCell ref="AB30:AC30"/>
    <mergeCell ref="AD17:AE17"/>
    <mergeCell ref="AD18:AE18"/>
    <mergeCell ref="AD19:AE19"/>
    <mergeCell ref="AD20:AE20"/>
    <mergeCell ref="AD29:AE29"/>
    <mergeCell ref="AD30:AE30"/>
    <mergeCell ref="AF17:AG17"/>
    <mergeCell ref="AF18:AG18"/>
    <mergeCell ref="AF19:AG19"/>
    <mergeCell ref="AF20:AG20"/>
    <mergeCell ref="AF29:AG29"/>
    <mergeCell ref="AF30:AG30"/>
    <mergeCell ref="AH17:AI17"/>
    <mergeCell ref="AH18:AI18"/>
    <mergeCell ref="AH19:AI19"/>
    <mergeCell ref="AH20:AI20"/>
    <mergeCell ref="AH29:AI29"/>
    <mergeCell ref="AH30:AI30"/>
    <mergeCell ref="AJ17:AK17"/>
    <mergeCell ref="AJ18:AK18"/>
    <mergeCell ref="AJ19:AK19"/>
    <mergeCell ref="AJ20:AK20"/>
    <mergeCell ref="AJ29:AK29"/>
    <mergeCell ref="AJ30:AK30"/>
    <mergeCell ref="AL17:AM17"/>
    <mergeCell ref="AL18:AM18"/>
    <mergeCell ref="AL19:AM19"/>
    <mergeCell ref="AL20:AM20"/>
    <mergeCell ref="AL29:AM29"/>
    <mergeCell ref="AL30:AM30"/>
    <mergeCell ref="AN17:AO17"/>
    <mergeCell ref="AN18:AO18"/>
    <mergeCell ref="AN19:AO19"/>
    <mergeCell ref="AN20:AO20"/>
    <mergeCell ref="AN29:AO29"/>
    <mergeCell ref="AN30:AO30"/>
    <mergeCell ref="AP17:AQ17"/>
    <mergeCell ref="AP18:AQ18"/>
    <mergeCell ref="AP19:AQ19"/>
    <mergeCell ref="AP20:AQ20"/>
    <mergeCell ref="AP29:AQ29"/>
    <mergeCell ref="AP30:AQ30"/>
    <mergeCell ref="AR17:AS17"/>
    <mergeCell ref="AR18:AS18"/>
    <mergeCell ref="AR19:AS19"/>
    <mergeCell ref="AR20:AS20"/>
    <mergeCell ref="AR29:AS29"/>
    <mergeCell ref="AR30:AS30"/>
    <mergeCell ref="AT17:AU17"/>
    <mergeCell ref="AT18:AU18"/>
    <mergeCell ref="AT19:AU19"/>
    <mergeCell ref="AT20:AU20"/>
    <mergeCell ref="AT29:AU29"/>
    <mergeCell ref="AT30:AU30"/>
    <mergeCell ref="AV17:AW17"/>
    <mergeCell ref="AV18:AW18"/>
    <mergeCell ref="AV19:AW19"/>
    <mergeCell ref="AV20:AW20"/>
    <mergeCell ref="AV29:AW29"/>
    <mergeCell ref="AV30:AW30"/>
    <mergeCell ref="Z36:AA36"/>
    <mergeCell ref="Z45:AA45"/>
    <mergeCell ref="Z46:AA46"/>
    <mergeCell ref="AB33:AC33"/>
    <mergeCell ref="AB34:AC34"/>
    <mergeCell ref="AB35:AC35"/>
    <mergeCell ref="AB36:AC36"/>
    <mergeCell ref="AB45:AC45"/>
    <mergeCell ref="AB46:AC46"/>
    <mergeCell ref="AH33:AI33"/>
    <mergeCell ref="AH34:AI34"/>
    <mergeCell ref="AH35:AI35"/>
    <mergeCell ref="AH36:AI36"/>
    <mergeCell ref="AH45:AI45"/>
    <mergeCell ref="AH46:AI46"/>
    <mergeCell ref="Z49:AA49"/>
    <mergeCell ref="Z50:AA50"/>
    <mergeCell ref="Z51:AA51"/>
    <mergeCell ref="AD33:AE33"/>
    <mergeCell ref="AD34:AE34"/>
    <mergeCell ref="AD35:AE35"/>
    <mergeCell ref="AD36:AE36"/>
    <mergeCell ref="AD45:AE45"/>
    <mergeCell ref="AD46:AE46"/>
    <mergeCell ref="AF33:AG33"/>
    <mergeCell ref="AF34:AG34"/>
    <mergeCell ref="AF35:AG35"/>
    <mergeCell ref="AF36:AG36"/>
    <mergeCell ref="AF45:AG45"/>
    <mergeCell ref="AF46:AG46"/>
    <mergeCell ref="Z33:AA33"/>
    <mergeCell ref="Z34:AA34"/>
    <mergeCell ref="Z35:AA35"/>
    <mergeCell ref="Z52:AA52"/>
    <mergeCell ref="Z61:AA61"/>
    <mergeCell ref="Z63:AA63"/>
    <mergeCell ref="Z82:AA82"/>
    <mergeCell ref="Z83:AA83"/>
    <mergeCell ref="Z84:AA84"/>
    <mergeCell ref="Z85:AA85"/>
    <mergeCell ref="Z94:AA94"/>
    <mergeCell ref="Z95:AA95"/>
    <mergeCell ref="Z62:AA6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03F7-CBD9-405F-85D5-512005ABC2A9}">
  <dimension ref="A1:G198"/>
  <sheetViews>
    <sheetView topLeftCell="A67" workbookViewId="0">
      <selection activeCell="L47" sqref="L47"/>
    </sheetView>
  </sheetViews>
  <sheetFormatPr defaultRowHeight="17.100000000000001"/>
  <cols>
    <col min="1" max="1" width="18" customWidth="1"/>
    <col min="2" max="7" width="12.5" customWidth="1"/>
    <col min="8" max="13" width="10.625" customWidth="1"/>
  </cols>
  <sheetData>
    <row r="1" spans="1:5" ht="17.100000000000001" customHeight="1">
      <c r="A1" s="95"/>
      <c r="B1" s="192"/>
      <c r="C1" s="193"/>
      <c r="D1" s="193"/>
      <c r="E1" s="166"/>
    </row>
    <row r="2" spans="1:5" ht="17.100000000000001" customHeight="1">
      <c r="A2" s="95"/>
      <c r="B2" s="167" t="s">
        <v>264</v>
      </c>
      <c r="C2" s="191"/>
      <c r="D2" s="191"/>
      <c r="E2" s="171"/>
    </row>
    <row r="3" spans="1:5" ht="17.100000000000001" customHeight="1">
      <c r="A3" s="95"/>
      <c r="B3" s="78" t="s">
        <v>265</v>
      </c>
      <c r="C3" s="111" t="s">
        <v>266</v>
      </c>
      <c r="D3" s="111" t="s">
        <v>267</v>
      </c>
      <c r="E3" s="112" t="s">
        <v>268</v>
      </c>
    </row>
    <row r="4" spans="1:5" ht="17.45" customHeight="1" thickBot="1">
      <c r="A4" s="96" t="s">
        <v>269</v>
      </c>
      <c r="B4" s="116">
        <v>201721</v>
      </c>
      <c r="C4" s="113">
        <v>78217</v>
      </c>
      <c r="D4" s="115">
        <v>28663</v>
      </c>
      <c r="E4" s="114">
        <v>13124</v>
      </c>
    </row>
    <row r="5" spans="1:5" ht="17.100000000000001" customHeight="1">
      <c r="A5" s="98" t="s">
        <v>270</v>
      </c>
      <c r="B5" s="107">
        <v>395488</v>
      </c>
      <c r="C5" s="108">
        <v>347063</v>
      </c>
      <c r="D5" s="109">
        <v>150486</v>
      </c>
      <c r="E5" s="110">
        <v>69217</v>
      </c>
    </row>
    <row r="6" spans="1:5" ht="17.45" customHeight="1" thickBot="1">
      <c r="A6" s="99" t="s">
        <v>193</v>
      </c>
      <c r="B6" s="100">
        <v>2409031</v>
      </c>
      <c r="C6" s="102">
        <v>7905498</v>
      </c>
      <c r="D6" s="101">
        <v>1399619</v>
      </c>
      <c r="E6" s="103">
        <v>1457512</v>
      </c>
    </row>
    <row r="7" spans="1:5" ht="17.100000000000001" customHeight="1"/>
    <row r="8" spans="1:5" ht="17.45" customHeight="1" thickBot="1"/>
    <row r="9" spans="1:5" ht="17.100000000000001" customHeight="1">
      <c r="A9" s="95"/>
      <c r="B9" s="192"/>
      <c r="C9" s="193"/>
      <c r="D9" s="193"/>
      <c r="E9" s="166"/>
    </row>
    <row r="10" spans="1:5" ht="17.100000000000001" customHeight="1">
      <c r="A10" s="95"/>
      <c r="B10" s="167" t="s">
        <v>271</v>
      </c>
      <c r="C10" s="191"/>
      <c r="D10" s="191"/>
      <c r="E10" s="171"/>
    </row>
    <row r="11" spans="1:5" ht="17.100000000000001" customHeight="1">
      <c r="A11" s="95"/>
      <c r="B11" s="78" t="s">
        <v>265</v>
      </c>
      <c r="C11" s="111" t="s">
        <v>266</v>
      </c>
      <c r="D11" s="111" t="s">
        <v>267</v>
      </c>
      <c r="E11" s="112" t="s">
        <v>268</v>
      </c>
    </row>
    <row r="12" spans="1:5" ht="17.100000000000001" customHeight="1" thickBot="1">
      <c r="A12" s="96" t="s">
        <v>269</v>
      </c>
      <c r="B12" s="116">
        <v>239165</v>
      </c>
      <c r="C12" s="113">
        <v>80907</v>
      </c>
      <c r="D12" s="115">
        <v>36017</v>
      </c>
      <c r="E12" s="114">
        <v>16801</v>
      </c>
    </row>
    <row r="13" spans="1:5" ht="17.100000000000001" customHeight="1">
      <c r="A13" s="98" t="s">
        <v>270</v>
      </c>
      <c r="B13" s="107">
        <v>400388</v>
      </c>
      <c r="C13" s="108">
        <v>347805</v>
      </c>
      <c r="D13" s="109">
        <v>141872</v>
      </c>
      <c r="E13" s="110">
        <v>67988</v>
      </c>
    </row>
    <row r="14" spans="1:5" ht="17.100000000000001" customHeight="1" thickBot="1">
      <c r="A14" s="99" t="s">
        <v>193</v>
      </c>
      <c r="B14" s="100">
        <v>3074927</v>
      </c>
      <c r="C14" s="102">
        <v>7354201</v>
      </c>
      <c r="D14" s="101">
        <v>1614657</v>
      </c>
      <c r="E14" s="103">
        <v>1448924</v>
      </c>
    </row>
    <row r="15" spans="1:5" ht="17.100000000000001" customHeight="1"/>
    <row r="16" spans="1:5" ht="17.100000000000001" customHeight="1" thickBot="1"/>
    <row r="17" spans="1:7" ht="17.100000000000001" customHeight="1">
      <c r="A17" s="95"/>
      <c r="B17" s="192"/>
      <c r="C17" s="193"/>
      <c r="D17" s="193"/>
      <c r="E17" s="166"/>
    </row>
    <row r="18" spans="1:7" ht="17.100000000000001" customHeight="1">
      <c r="A18" s="95"/>
      <c r="B18" s="167" t="s">
        <v>272</v>
      </c>
      <c r="C18" s="191"/>
      <c r="D18" s="191"/>
      <c r="E18" s="171"/>
    </row>
    <row r="19" spans="1:7" ht="17.100000000000001" customHeight="1">
      <c r="A19" s="95"/>
      <c r="B19" s="78" t="s">
        <v>265</v>
      </c>
      <c r="C19" s="111" t="s">
        <v>266</v>
      </c>
      <c r="D19" s="111" t="s">
        <v>267</v>
      </c>
      <c r="E19" s="112" t="s">
        <v>268</v>
      </c>
    </row>
    <row r="20" spans="1:7" ht="17.45" customHeight="1" thickBot="1">
      <c r="A20" s="96" t="s">
        <v>269</v>
      </c>
      <c r="B20" s="116">
        <v>215633</v>
      </c>
      <c r="C20" s="113">
        <v>95360</v>
      </c>
      <c r="D20" s="115">
        <v>35124</v>
      </c>
      <c r="E20" s="114">
        <v>25798</v>
      </c>
    </row>
    <row r="21" spans="1:7" ht="17.100000000000001" customHeight="1">
      <c r="A21" s="98" t="s">
        <v>270</v>
      </c>
      <c r="B21" s="107">
        <v>352705</v>
      </c>
      <c r="C21" s="108">
        <v>426299</v>
      </c>
      <c r="D21" s="109">
        <v>221729</v>
      </c>
      <c r="E21" s="110">
        <v>59713</v>
      </c>
    </row>
    <row r="22" spans="1:7" ht="17.45" customHeight="1" thickBot="1">
      <c r="A22" s="117" t="s">
        <v>193</v>
      </c>
      <c r="B22" s="119">
        <v>2652993</v>
      </c>
      <c r="C22" s="120">
        <v>7077788</v>
      </c>
      <c r="D22" s="121">
        <v>507583</v>
      </c>
      <c r="E22" s="122">
        <v>856377</v>
      </c>
    </row>
    <row r="23" spans="1:7" ht="17.45" customHeight="1">
      <c r="A23" s="123"/>
      <c r="B23" s="123"/>
      <c r="C23" s="123"/>
      <c r="D23" s="123"/>
      <c r="E23" s="123"/>
    </row>
    <row r="24" spans="1:7" ht="17.45" customHeight="1" thickBot="1"/>
    <row r="25" spans="1:7" ht="17.100000000000001" customHeight="1">
      <c r="A25" s="118"/>
      <c r="B25" s="192"/>
      <c r="C25" s="193"/>
      <c r="D25" s="193"/>
      <c r="E25" s="193"/>
      <c r="F25" s="193"/>
      <c r="G25" s="166"/>
    </row>
    <row r="26" spans="1:7" ht="17.45" customHeight="1">
      <c r="A26" s="95"/>
      <c r="B26" s="167" t="s">
        <v>273</v>
      </c>
      <c r="C26" s="191"/>
      <c r="D26" s="191"/>
      <c r="E26" s="191"/>
      <c r="F26" s="191"/>
      <c r="G26" s="171"/>
    </row>
    <row r="27" spans="1:7" ht="17.100000000000001" customHeight="1">
      <c r="A27" s="95"/>
      <c r="B27" s="78" t="s">
        <v>169</v>
      </c>
      <c r="C27" s="97" t="s">
        <v>170</v>
      </c>
      <c r="D27" s="111" t="s">
        <v>171</v>
      </c>
      <c r="E27" s="111" t="s">
        <v>172</v>
      </c>
      <c r="F27" s="111" t="s">
        <v>173</v>
      </c>
      <c r="G27" s="112" t="s">
        <v>174</v>
      </c>
    </row>
    <row r="28" spans="1:7" ht="17.100000000000001" customHeight="1">
      <c r="A28" s="95"/>
      <c r="B28" s="167"/>
      <c r="C28" s="191"/>
      <c r="D28" s="191"/>
      <c r="E28" s="191"/>
      <c r="F28" s="191"/>
      <c r="G28" s="171"/>
    </row>
    <row r="29" spans="1:7" ht="17.100000000000001" customHeight="1">
      <c r="A29" s="75" t="s">
        <v>183</v>
      </c>
      <c r="B29" s="74" t="s">
        <v>183</v>
      </c>
      <c r="C29" s="74" t="s">
        <v>183</v>
      </c>
      <c r="D29" s="74" t="s">
        <v>183</v>
      </c>
      <c r="E29" s="74" t="s">
        <v>183</v>
      </c>
      <c r="F29" s="74" t="s">
        <v>183</v>
      </c>
      <c r="G29" s="104" t="s">
        <v>183</v>
      </c>
    </row>
    <row r="30" spans="1:7" ht="17.100000000000001" customHeight="1">
      <c r="A30" s="128" t="s">
        <v>188</v>
      </c>
      <c r="B30" s="76">
        <v>9492</v>
      </c>
      <c r="C30" s="76">
        <v>11142</v>
      </c>
      <c r="D30" s="76">
        <v>10010</v>
      </c>
      <c r="E30" s="76">
        <v>12033</v>
      </c>
      <c r="F30" s="76">
        <v>9536</v>
      </c>
      <c r="G30" s="129">
        <v>11293</v>
      </c>
    </row>
    <row r="31" spans="1:7" ht="17.100000000000001" customHeight="1">
      <c r="A31" s="128" t="s">
        <v>274</v>
      </c>
      <c r="B31" s="76">
        <v>4305</v>
      </c>
      <c r="C31" s="76">
        <v>4078</v>
      </c>
      <c r="D31" s="76">
        <v>4081</v>
      </c>
      <c r="E31" s="76">
        <v>4222</v>
      </c>
      <c r="F31" s="76">
        <v>3975</v>
      </c>
      <c r="G31" s="129">
        <v>3359</v>
      </c>
    </row>
    <row r="32" spans="1:7" ht="17.100000000000001" customHeight="1">
      <c r="A32" s="128" t="s">
        <v>275</v>
      </c>
      <c r="B32" s="76">
        <v>1311</v>
      </c>
      <c r="C32" s="76">
        <v>1173</v>
      </c>
      <c r="D32" s="76">
        <v>1109</v>
      </c>
      <c r="E32" s="76">
        <v>1089</v>
      </c>
      <c r="F32" s="76">
        <v>1231</v>
      </c>
      <c r="G32" s="129">
        <v>1189</v>
      </c>
    </row>
    <row r="33" spans="1:7" ht="17.100000000000001" customHeight="1" thickBot="1">
      <c r="A33" s="96" t="s">
        <v>191</v>
      </c>
      <c r="B33" s="105">
        <v>15108</v>
      </c>
      <c r="C33" s="105">
        <v>16393</v>
      </c>
      <c r="D33" s="105">
        <v>15200</v>
      </c>
      <c r="E33" s="105">
        <v>17344</v>
      </c>
      <c r="F33" s="105">
        <v>14742</v>
      </c>
      <c r="G33" s="106">
        <v>15841</v>
      </c>
    </row>
    <row r="34" spans="1:7" ht="17.100000000000001" customHeight="1">
      <c r="A34" s="98" t="s">
        <v>198</v>
      </c>
      <c r="B34" s="107"/>
      <c r="C34" s="108"/>
      <c r="D34" s="127"/>
      <c r="E34" s="127"/>
      <c r="F34" s="109"/>
      <c r="G34" s="110"/>
    </row>
    <row r="35" spans="1:7" ht="17.100000000000001" customHeight="1" thickBot="1">
      <c r="A35" s="99" t="s">
        <v>193</v>
      </c>
      <c r="B35" s="100"/>
      <c r="C35" s="102"/>
      <c r="D35" s="85"/>
      <c r="E35" s="85"/>
      <c r="F35" s="101"/>
      <c r="G35" s="103"/>
    </row>
    <row r="36" spans="1:7" ht="17.100000000000001" customHeight="1"/>
    <row r="37" spans="1:7" ht="17.100000000000001" customHeight="1" thickBot="1"/>
    <row r="38" spans="1:7" ht="17.100000000000001" customHeight="1">
      <c r="A38" s="95"/>
      <c r="B38" s="192"/>
      <c r="C38" s="193"/>
      <c r="D38" s="193"/>
      <c r="E38" s="193"/>
      <c r="F38" s="193"/>
      <c r="G38" s="166"/>
    </row>
    <row r="39" spans="1:7" ht="17.100000000000001" customHeight="1">
      <c r="A39" s="95"/>
      <c r="B39" s="167" t="s">
        <v>276</v>
      </c>
      <c r="C39" s="191"/>
      <c r="D39" s="191"/>
      <c r="E39" s="191"/>
      <c r="F39" s="191"/>
      <c r="G39" s="171"/>
    </row>
    <row r="40" spans="1:7" ht="17.100000000000001" customHeight="1">
      <c r="A40" s="95"/>
      <c r="B40" s="78" t="s">
        <v>169</v>
      </c>
      <c r="C40" s="97" t="s">
        <v>170</v>
      </c>
      <c r="D40" s="111" t="s">
        <v>171</v>
      </c>
      <c r="E40" s="111" t="s">
        <v>172</v>
      </c>
      <c r="F40" s="111" t="s">
        <v>173</v>
      </c>
      <c r="G40" s="112" t="s">
        <v>174</v>
      </c>
    </row>
    <row r="41" spans="1:7" ht="17.45" customHeight="1">
      <c r="A41" s="95"/>
      <c r="B41" s="167"/>
      <c r="C41" s="191"/>
      <c r="D41" s="191"/>
      <c r="E41" s="191"/>
      <c r="F41" s="191"/>
      <c r="G41" s="171"/>
    </row>
    <row r="42" spans="1:7" ht="17.100000000000001" customHeight="1">
      <c r="A42" s="75" t="s">
        <v>183</v>
      </c>
      <c r="B42" s="74" t="s">
        <v>183</v>
      </c>
      <c r="C42" s="74" t="s">
        <v>183</v>
      </c>
      <c r="D42" s="74" t="s">
        <v>183</v>
      </c>
      <c r="E42" s="74" t="s">
        <v>183</v>
      </c>
      <c r="F42" s="74" t="s">
        <v>183</v>
      </c>
      <c r="G42" s="104" t="s">
        <v>183</v>
      </c>
    </row>
    <row r="43" spans="1:7" ht="17.100000000000001" customHeight="1">
      <c r="A43" s="128" t="s">
        <v>186</v>
      </c>
      <c r="B43" s="76">
        <v>59705</v>
      </c>
      <c r="C43" s="76">
        <v>63454</v>
      </c>
      <c r="D43" s="76">
        <v>58144</v>
      </c>
      <c r="E43" s="76">
        <v>67234</v>
      </c>
      <c r="F43" s="76">
        <v>69998</v>
      </c>
      <c r="G43" s="129">
        <v>68098</v>
      </c>
    </row>
    <row r="44" spans="1:7" ht="17.100000000000001" customHeight="1">
      <c r="A44" s="128" t="s">
        <v>185</v>
      </c>
      <c r="B44" s="76">
        <v>142908</v>
      </c>
      <c r="C44" s="76">
        <v>190319</v>
      </c>
      <c r="D44" s="76">
        <v>177166</v>
      </c>
      <c r="E44" s="76">
        <v>206120</v>
      </c>
      <c r="F44" s="76">
        <v>196943</v>
      </c>
      <c r="G44" s="129">
        <v>231174</v>
      </c>
    </row>
    <row r="45" spans="1:7" ht="17.100000000000001" customHeight="1">
      <c r="A45" s="128" t="s">
        <v>277</v>
      </c>
      <c r="B45" s="76">
        <v>866</v>
      </c>
      <c r="C45" s="76">
        <v>607</v>
      </c>
      <c r="D45" s="76">
        <v>608</v>
      </c>
      <c r="E45" s="76">
        <v>625</v>
      </c>
      <c r="F45" s="76">
        <v>662</v>
      </c>
      <c r="G45" s="129">
        <v>1121</v>
      </c>
    </row>
    <row r="46" spans="1:7" ht="17.45" customHeight="1" thickBot="1">
      <c r="A46" s="96" t="s">
        <v>191</v>
      </c>
      <c r="B46" s="105">
        <v>203479</v>
      </c>
      <c r="C46" s="105">
        <v>254380</v>
      </c>
      <c r="D46" s="105">
        <v>235918</v>
      </c>
      <c r="E46" s="105">
        <v>273979</v>
      </c>
      <c r="F46" s="105">
        <v>267603</v>
      </c>
      <c r="G46" s="106">
        <v>300393</v>
      </c>
    </row>
    <row r="47" spans="1:7" ht="17.100000000000001" customHeight="1">
      <c r="A47" s="98" t="s">
        <v>198</v>
      </c>
      <c r="B47" s="107"/>
      <c r="C47" s="108"/>
      <c r="D47" s="127"/>
      <c r="E47" s="127"/>
      <c r="F47" s="109"/>
      <c r="G47" s="110"/>
    </row>
    <row r="48" spans="1:7" ht="17.45" customHeight="1" thickBot="1">
      <c r="A48" s="99" t="s">
        <v>193</v>
      </c>
      <c r="B48" s="100"/>
      <c r="C48" s="102"/>
      <c r="D48" s="85"/>
      <c r="E48" s="85"/>
      <c r="F48" s="101"/>
      <c r="G48" s="103"/>
    </row>
    <row r="49" spans="1:7" ht="17.100000000000001" customHeight="1"/>
    <row r="50" spans="1:7" ht="17.100000000000001" customHeight="1" thickBot="1"/>
    <row r="51" spans="1:7" ht="17.100000000000001" customHeight="1">
      <c r="A51" s="95"/>
      <c r="B51" s="192"/>
      <c r="C51" s="193"/>
      <c r="D51" s="193"/>
      <c r="E51" s="193"/>
      <c r="F51" s="193"/>
      <c r="G51" s="166"/>
    </row>
    <row r="52" spans="1:7" ht="17.100000000000001" customHeight="1">
      <c r="A52" s="95"/>
      <c r="B52" s="167" t="s">
        <v>278</v>
      </c>
      <c r="C52" s="191"/>
      <c r="D52" s="191"/>
      <c r="E52" s="191"/>
      <c r="F52" s="191"/>
      <c r="G52" s="171"/>
    </row>
    <row r="53" spans="1:7" ht="17.100000000000001" customHeight="1">
      <c r="A53" s="95"/>
      <c r="B53" s="78" t="s">
        <v>169</v>
      </c>
      <c r="C53" s="97" t="s">
        <v>170</v>
      </c>
      <c r="D53" s="111" t="s">
        <v>171</v>
      </c>
      <c r="E53" s="111" t="s">
        <v>172</v>
      </c>
      <c r="F53" s="111" t="s">
        <v>173</v>
      </c>
      <c r="G53" s="112" t="s">
        <v>174</v>
      </c>
    </row>
    <row r="54" spans="1:7" ht="17.100000000000001" customHeight="1">
      <c r="A54" s="95"/>
      <c r="B54" s="167"/>
      <c r="C54" s="191"/>
      <c r="D54" s="191"/>
      <c r="E54" s="191"/>
      <c r="F54" s="191"/>
      <c r="G54" s="171"/>
    </row>
    <row r="55" spans="1:7" ht="17.100000000000001" customHeight="1">
      <c r="A55" s="75" t="s">
        <v>183</v>
      </c>
      <c r="B55" s="74" t="s">
        <v>183</v>
      </c>
      <c r="C55" s="74" t="s">
        <v>183</v>
      </c>
      <c r="D55" s="74" t="s">
        <v>183</v>
      </c>
      <c r="E55" s="74" t="s">
        <v>183</v>
      </c>
      <c r="F55" s="74" t="s">
        <v>183</v>
      </c>
      <c r="G55" s="104" t="s">
        <v>183</v>
      </c>
    </row>
    <row r="56" spans="1:7" ht="17.100000000000001" customHeight="1">
      <c r="A56" s="128" t="s">
        <v>187</v>
      </c>
      <c r="B56" s="76">
        <v>15453</v>
      </c>
      <c r="C56" s="76">
        <v>16314</v>
      </c>
      <c r="D56" s="76">
        <v>13345</v>
      </c>
      <c r="E56" s="76">
        <v>15460</v>
      </c>
      <c r="F56" s="76">
        <v>13129</v>
      </c>
      <c r="G56" s="129">
        <v>15205</v>
      </c>
    </row>
    <row r="57" spans="1:7" ht="17.100000000000001" customHeight="1">
      <c r="A57" s="128" t="s">
        <v>279</v>
      </c>
      <c r="B57" s="76">
        <v>6168</v>
      </c>
      <c r="C57" s="76">
        <v>5111</v>
      </c>
      <c r="D57" s="76">
        <v>4133</v>
      </c>
      <c r="E57" s="76">
        <v>4839</v>
      </c>
      <c r="F57" s="76">
        <v>4303</v>
      </c>
      <c r="G57" s="129">
        <v>4946</v>
      </c>
    </row>
    <row r="58" spans="1:7" ht="17.100000000000001" customHeight="1">
      <c r="A58" s="128" t="s">
        <v>280</v>
      </c>
      <c r="B58" s="76">
        <v>4523</v>
      </c>
      <c r="C58" s="76">
        <v>5615</v>
      </c>
      <c r="D58" s="76">
        <v>3693</v>
      </c>
      <c r="E58" s="76">
        <v>4129</v>
      </c>
      <c r="F58" s="76">
        <v>4550</v>
      </c>
      <c r="G58" s="129">
        <v>5536</v>
      </c>
    </row>
    <row r="59" spans="1:7" ht="17.100000000000001" customHeight="1" thickBot="1">
      <c r="A59" s="96" t="s">
        <v>191</v>
      </c>
      <c r="B59" s="105">
        <v>26144</v>
      </c>
      <c r="C59" s="105">
        <v>27040</v>
      </c>
      <c r="D59" s="105">
        <v>21171</v>
      </c>
      <c r="E59" s="105">
        <v>24428</v>
      </c>
      <c r="F59" s="105">
        <v>21982</v>
      </c>
      <c r="G59" s="106">
        <v>25687</v>
      </c>
    </row>
    <row r="60" spans="1:7" ht="17.100000000000001" customHeight="1">
      <c r="A60" s="98" t="s">
        <v>198</v>
      </c>
      <c r="B60" s="107"/>
      <c r="C60" s="108"/>
      <c r="D60" s="127"/>
      <c r="E60" s="127"/>
      <c r="F60" s="109"/>
      <c r="G60" s="110"/>
    </row>
    <row r="61" spans="1:7" ht="17.100000000000001" customHeight="1" thickBot="1">
      <c r="A61" s="99" t="s">
        <v>193</v>
      </c>
      <c r="B61" s="100"/>
      <c r="C61" s="102"/>
      <c r="D61" s="85"/>
      <c r="E61" s="85"/>
      <c r="F61" s="101"/>
      <c r="G61" s="103"/>
    </row>
    <row r="62" spans="1:7" ht="17.100000000000001" customHeight="1"/>
    <row r="63" spans="1:7" ht="17.45" customHeight="1" thickBot="1"/>
    <row r="64" spans="1:7" ht="17.100000000000001" customHeight="1">
      <c r="A64" s="95"/>
      <c r="B64" s="192"/>
      <c r="C64" s="193"/>
      <c r="D64" s="193"/>
      <c r="E64" s="193"/>
      <c r="F64" s="193"/>
      <c r="G64" s="166"/>
    </row>
    <row r="65" spans="1:7" ht="17.45" customHeight="1">
      <c r="A65" s="95"/>
      <c r="B65" s="167" t="s">
        <v>281</v>
      </c>
      <c r="C65" s="191"/>
      <c r="D65" s="191"/>
      <c r="E65" s="191"/>
      <c r="F65" s="191"/>
      <c r="G65" s="171"/>
    </row>
    <row r="66" spans="1:7" ht="17.100000000000001" customHeight="1">
      <c r="A66" s="95"/>
      <c r="B66" s="78" t="s">
        <v>169</v>
      </c>
      <c r="C66" s="97" t="s">
        <v>170</v>
      </c>
      <c r="D66" s="111" t="s">
        <v>171</v>
      </c>
      <c r="E66" s="111" t="s">
        <v>172</v>
      </c>
      <c r="F66" s="111" t="s">
        <v>173</v>
      </c>
      <c r="G66" s="112" t="s">
        <v>174</v>
      </c>
    </row>
    <row r="67" spans="1:7" ht="17.45" customHeight="1">
      <c r="A67" s="95"/>
      <c r="B67" s="167"/>
      <c r="C67" s="191"/>
      <c r="D67" s="191"/>
      <c r="E67" s="191"/>
      <c r="F67" s="191"/>
      <c r="G67" s="171"/>
    </row>
    <row r="68" spans="1:7" ht="17.100000000000001" customHeight="1">
      <c r="A68" s="75" t="s">
        <v>183</v>
      </c>
      <c r="B68" s="74" t="s">
        <v>183</v>
      </c>
      <c r="C68" s="74" t="s">
        <v>183</v>
      </c>
      <c r="D68" s="74" t="s">
        <v>183</v>
      </c>
      <c r="E68" s="74" t="s">
        <v>183</v>
      </c>
      <c r="F68" s="74" t="s">
        <v>183</v>
      </c>
      <c r="G68" s="104" t="s">
        <v>183</v>
      </c>
    </row>
    <row r="69" spans="1:7" ht="17.100000000000001" customHeight="1">
      <c r="A69" s="128" t="s">
        <v>188</v>
      </c>
      <c r="B69" s="76">
        <v>15471</v>
      </c>
      <c r="C69" s="76">
        <v>15100</v>
      </c>
      <c r="D69" s="76">
        <v>13391</v>
      </c>
      <c r="E69" s="76">
        <v>16262</v>
      </c>
      <c r="F69" s="76">
        <v>13724</v>
      </c>
      <c r="G69" s="129">
        <v>15774</v>
      </c>
    </row>
    <row r="70" spans="1:7" ht="17.100000000000001" customHeight="1">
      <c r="A70" s="128" t="s">
        <v>189</v>
      </c>
      <c r="B70" s="76">
        <v>3179</v>
      </c>
      <c r="C70" s="76">
        <v>3992</v>
      </c>
      <c r="D70" s="76">
        <v>3173</v>
      </c>
      <c r="E70" s="76">
        <v>3528</v>
      </c>
      <c r="F70" s="76">
        <v>3258</v>
      </c>
      <c r="G70" s="129">
        <v>4116</v>
      </c>
    </row>
    <row r="71" spans="1:7" ht="17.100000000000001" customHeight="1">
      <c r="A71" s="128" t="s">
        <v>282</v>
      </c>
      <c r="B71" s="76">
        <v>4839</v>
      </c>
      <c r="C71" s="76">
        <v>8167</v>
      </c>
      <c r="D71" s="76">
        <v>5926</v>
      </c>
      <c r="E71" s="76">
        <v>6553</v>
      </c>
      <c r="F71" s="76">
        <v>5117</v>
      </c>
      <c r="G71" s="129">
        <v>5348</v>
      </c>
    </row>
    <row r="72" spans="1:7" ht="17.100000000000001" customHeight="1" thickBot="1">
      <c r="A72" s="96" t="s">
        <v>191</v>
      </c>
      <c r="B72" s="105">
        <v>23489</v>
      </c>
      <c r="C72" s="105">
        <v>27259</v>
      </c>
      <c r="D72" s="105">
        <v>22490</v>
      </c>
      <c r="E72" s="105">
        <v>26343</v>
      </c>
      <c r="F72" s="105">
        <v>22099</v>
      </c>
      <c r="G72" s="106">
        <v>25238</v>
      </c>
    </row>
    <row r="73" spans="1:7" ht="17.100000000000001" customHeight="1">
      <c r="A73" s="98" t="s">
        <v>198</v>
      </c>
      <c r="B73" s="107"/>
      <c r="C73" s="108"/>
      <c r="D73" s="127"/>
      <c r="E73" s="127"/>
      <c r="F73" s="109"/>
      <c r="G73" s="110"/>
    </row>
    <row r="74" spans="1:7" ht="17.100000000000001" customHeight="1" thickBot="1">
      <c r="A74" s="99" t="s">
        <v>193</v>
      </c>
      <c r="B74" s="100"/>
      <c r="C74" s="102"/>
      <c r="D74" s="85"/>
      <c r="E74" s="85"/>
      <c r="F74" s="101"/>
      <c r="G74" s="103"/>
    </row>
    <row r="75" spans="1:7" ht="17.100000000000001" customHeight="1"/>
    <row r="76" spans="1:7" ht="17.100000000000001" customHeight="1" thickBot="1"/>
    <row r="77" spans="1:7" ht="17.100000000000001" customHeight="1">
      <c r="A77" s="95"/>
      <c r="B77" s="192"/>
      <c r="C77" s="193"/>
      <c r="D77" s="193"/>
      <c r="E77" s="193"/>
      <c r="F77" s="193"/>
      <c r="G77" s="166"/>
    </row>
    <row r="78" spans="1:7" ht="17.100000000000001" customHeight="1">
      <c r="A78" s="95"/>
      <c r="B78" s="167" t="s">
        <v>283</v>
      </c>
      <c r="C78" s="191"/>
      <c r="D78" s="191"/>
      <c r="E78" s="191"/>
      <c r="F78" s="191"/>
      <c r="G78" s="171"/>
    </row>
    <row r="79" spans="1:7" ht="17.100000000000001" customHeight="1">
      <c r="A79" s="95"/>
      <c r="B79" s="78" t="s">
        <v>169</v>
      </c>
      <c r="C79" s="97" t="s">
        <v>170</v>
      </c>
      <c r="D79" s="111" t="s">
        <v>171</v>
      </c>
      <c r="E79" s="111" t="s">
        <v>172</v>
      </c>
      <c r="F79" s="111" t="s">
        <v>173</v>
      </c>
      <c r="G79" s="112" t="s">
        <v>174</v>
      </c>
    </row>
    <row r="80" spans="1:7" ht="17.100000000000001" customHeight="1">
      <c r="A80" s="95"/>
      <c r="B80" s="167"/>
      <c r="C80" s="191"/>
      <c r="D80" s="191"/>
      <c r="E80" s="191"/>
      <c r="F80" s="191"/>
      <c r="G80" s="171"/>
    </row>
    <row r="81" spans="1:7" ht="17.100000000000001" customHeight="1">
      <c r="A81" s="75" t="s">
        <v>183</v>
      </c>
      <c r="B81" s="126" t="s">
        <v>183</v>
      </c>
      <c r="C81" s="75" t="s">
        <v>183</v>
      </c>
      <c r="D81" s="125" t="s">
        <v>183</v>
      </c>
      <c r="E81" s="125" t="s">
        <v>183</v>
      </c>
      <c r="F81" s="125" t="s">
        <v>183</v>
      </c>
      <c r="G81" s="124" t="s">
        <v>183</v>
      </c>
    </row>
    <row r="82" spans="1:7" ht="17.45" customHeight="1" thickBot="1">
      <c r="A82" s="96" t="s">
        <v>191</v>
      </c>
      <c r="B82" s="116"/>
      <c r="C82" s="113"/>
      <c r="D82" s="115"/>
      <c r="E82" s="115"/>
      <c r="F82" s="115"/>
      <c r="G82" s="114"/>
    </row>
    <row r="83" spans="1:7" ht="17.100000000000001" customHeight="1">
      <c r="A83" s="98" t="s">
        <v>198</v>
      </c>
      <c r="B83" s="107"/>
      <c r="C83" s="108"/>
      <c r="D83" s="127"/>
      <c r="E83" s="127"/>
      <c r="F83" s="109"/>
      <c r="G83" s="110"/>
    </row>
    <row r="84" spans="1:7" ht="17.45" customHeight="1" thickBot="1">
      <c r="A84" s="99" t="s">
        <v>193</v>
      </c>
      <c r="B84" s="100"/>
      <c r="C84" s="102"/>
      <c r="D84" s="85"/>
      <c r="E84" s="85"/>
      <c r="F84" s="101"/>
      <c r="G84" s="103"/>
    </row>
    <row r="85" spans="1:7" ht="17.100000000000001" customHeight="1"/>
    <row r="86" spans="1:7" ht="17.45" customHeight="1" thickBot="1"/>
    <row r="87" spans="1:7" ht="17.100000000000001" customHeight="1">
      <c r="A87" s="95"/>
      <c r="B87" s="192"/>
      <c r="C87" s="193"/>
      <c r="D87" s="193"/>
      <c r="E87" s="193"/>
      <c r="F87" s="193"/>
      <c r="G87" s="166"/>
    </row>
    <row r="88" spans="1:7" ht="17.100000000000001" customHeight="1">
      <c r="A88" s="95"/>
      <c r="B88" s="167" t="s">
        <v>284</v>
      </c>
      <c r="C88" s="191"/>
      <c r="D88" s="191"/>
      <c r="E88" s="191"/>
      <c r="F88" s="191"/>
      <c r="G88" s="171"/>
    </row>
    <row r="89" spans="1:7" ht="17.100000000000001" customHeight="1">
      <c r="A89" s="95"/>
      <c r="B89" s="78" t="s">
        <v>169</v>
      </c>
      <c r="C89" s="97" t="s">
        <v>170</v>
      </c>
      <c r="D89" s="111" t="s">
        <v>171</v>
      </c>
      <c r="E89" s="111" t="s">
        <v>172</v>
      </c>
      <c r="F89" s="111" t="s">
        <v>173</v>
      </c>
      <c r="G89" s="112" t="s">
        <v>174</v>
      </c>
    </row>
    <row r="90" spans="1:7" ht="17.100000000000001" customHeight="1">
      <c r="A90" s="95"/>
      <c r="B90" s="167"/>
      <c r="C90" s="191"/>
      <c r="D90" s="191"/>
      <c r="E90" s="191"/>
      <c r="F90" s="191"/>
      <c r="G90" s="171"/>
    </row>
    <row r="91" spans="1:7" ht="17.100000000000001" customHeight="1">
      <c r="A91" s="75" t="s">
        <v>183</v>
      </c>
      <c r="B91" s="126" t="s">
        <v>183</v>
      </c>
      <c r="C91" s="75" t="s">
        <v>183</v>
      </c>
      <c r="D91" s="125" t="s">
        <v>183</v>
      </c>
      <c r="E91" s="125" t="s">
        <v>183</v>
      </c>
      <c r="F91" s="125" t="s">
        <v>183</v>
      </c>
      <c r="G91" s="124" t="s">
        <v>183</v>
      </c>
    </row>
    <row r="92" spans="1:7" ht="17.100000000000001" customHeight="1" thickBot="1">
      <c r="A92" s="96" t="s">
        <v>191</v>
      </c>
      <c r="B92" s="116"/>
      <c r="C92" s="113"/>
      <c r="D92" s="115"/>
      <c r="E92" s="115"/>
      <c r="F92" s="115"/>
      <c r="G92" s="114"/>
    </row>
    <row r="93" spans="1:7" ht="17.100000000000001" customHeight="1">
      <c r="A93" s="98" t="s">
        <v>198</v>
      </c>
      <c r="B93" s="107"/>
      <c r="C93" s="108"/>
      <c r="D93" s="127"/>
      <c r="E93" s="127"/>
      <c r="F93" s="109"/>
      <c r="G93" s="110"/>
    </row>
    <row r="94" spans="1:7" ht="17.100000000000001" customHeight="1" thickBot="1">
      <c r="A94" s="99" t="s">
        <v>193</v>
      </c>
      <c r="B94" s="100"/>
      <c r="C94" s="102"/>
      <c r="D94" s="85"/>
      <c r="E94" s="85"/>
      <c r="F94" s="101"/>
      <c r="G94" s="103"/>
    </row>
    <row r="95" spans="1:7" ht="17.100000000000001" customHeight="1"/>
    <row r="96" spans="1:7" ht="17.100000000000001" customHeight="1" thickBot="1"/>
    <row r="97" spans="1:7" ht="17.100000000000001" customHeight="1">
      <c r="A97" s="95"/>
      <c r="B97" s="192"/>
      <c r="C97" s="193"/>
      <c r="D97" s="193"/>
      <c r="E97" s="193"/>
      <c r="F97" s="193"/>
      <c r="G97" s="166"/>
    </row>
    <row r="98" spans="1:7" ht="17.45" customHeight="1">
      <c r="A98" s="95"/>
      <c r="B98" s="167" t="s">
        <v>285</v>
      </c>
      <c r="C98" s="191"/>
      <c r="D98" s="191"/>
      <c r="E98" s="191"/>
      <c r="F98" s="191"/>
      <c r="G98" s="171"/>
    </row>
    <row r="99" spans="1:7" ht="17.100000000000001" customHeight="1">
      <c r="A99" s="95"/>
      <c r="B99" s="78" t="s">
        <v>169</v>
      </c>
      <c r="C99" s="97" t="s">
        <v>170</v>
      </c>
      <c r="D99" s="111" t="s">
        <v>171</v>
      </c>
      <c r="E99" s="111" t="s">
        <v>172</v>
      </c>
      <c r="F99" s="111" t="s">
        <v>173</v>
      </c>
      <c r="G99" s="112" t="s">
        <v>174</v>
      </c>
    </row>
    <row r="100" spans="1:7" ht="17.45" customHeight="1">
      <c r="A100" s="95"/>
      <c r="B100" s="167"/>
      <c r="C100" s="191"/>
      <c r="D100" s="191"/>
      <c r="E100" s="191"/>
      <c r="F100" s="191"/>
      <c r="G100" s="171"/>
    </row>
    <row r="101" spans="1:7" ht="17.100000000000001" customHeight="1">
      <c r="A101" s="75" t="s">
        <v>183</v>
      </c>
      <c r="B101" s="126" t="s">
        <v>183</v>
      </c>
      <c r="C101" s="75" t="s">
        <v>183</v>
      </c>
      <c r="D101" s="125" t="s">
        <v>183</v>
      </c>
      <c r="E101" s="125" t="s">
        <v>183</v>
      </c>
      <c r="F101" s="125" t="s">
        <v>183</v>
      </c>
      <c r="G101" s="124" t="s">
        <v>183</v>
      </c>
    </row>
    <row r="102" spans="1:7" ht="17.45" customHeight="1" thickBot="1">
      <c r="A102" s="96" t="s">
        <v>191</v>
      </c>
      <c r="B102" s="116"/>
      <c r="C102" s="113"/>
      <c r="D102" s="115"/>
      <c r="E102" s="115"/>
      <c r="F102" s="115"/>
      <c r="G102" s="114"/>
    </row>
    <row r="103" spans="1:7" ht="17.100000000000001" customHeight="1">
      <c r="A103" s="98" t="s">
        <v>198</v>
      </c>
      <c r="B103" s="107"/>
      <c r="C103" s="108"/>
      <c r="D103" s="127"/>
      <c r="E103" s="127"/>
      <c r="F103" s="109"/>
      <c r="G103" s="110"/>
    </row>
    <row r="104" spans="1:7" ht="17.100000000000001" customHeight="1" thickBot="1">
      <c r="A104" s="99" t="s">
        <v>193</v>
      </c>
      <c r="B104" s="100"/>
      <c r="C104" s="102"/>
      <c r="D104" s="85"/>
      <c r="E104" s="85"/>
      <c r="F104" s="101"/>
      <c r="G104" s="103"/>
    </row>
    <row r="105" spans="1:7" ht="17.100000000000001" customHeight="1"/>
    <row r="106" spans="1:7" ht="17.100000000000001" customHeight="1" thickBot="1"/>
    <row r="107" spans="1:7" ht="17.100000000000001" customHeight="1">
      <c r="A107" s="95"/>
      <c r="B107" s="192"/>
      <c r="C107" s="193"/>
      <c r="D107" s="193"/>
      <c r="E107" s="193"/>
      <c r="F107" s="193"/>
      <c r="G107" s="166"/>
    </row>
    <row r="108" spans="1:7" ht="17.100000000000001" customHeight="1">
      <c r="A108" s="95"/>
      <c r="B108" s="167" t="s">
        <v>286</v>
      </c>
      <c r="C108" s="191"/>
      <c r="D108" s="191"/>
      <c r="E108" s="191"/>
      <c r="F108" s="191"/>
      <c r="G108" s="171"/>
    </row>
    <row r="109" spans="1:7" ht="17.100000000000001" customHeight="1">
      <c r="A109" s="95"/>
      <c r="B109" s="78" t="s">
        <v>169</v>
      </c>
      <c r="C109" s="97" t="s">
        <v>170</v>
      </c>
      <c r="D109" s="111" t="s">
        <v>171</v>
      </c>
      <c r="E109" s="111" t="s">
        <v>172</v>
      </c>
      <c r="F109" s="111" t="s">
        <v>173</v>
      </c>
      <c r="G109" s="112" t="s">
        <v>174</v>
      </c>
    </row>
    <row r="110" spans="1:7" ht="17.100000000000001" customHeight="1">
      <c r="A110" s="95"/>
      <c r="B110" s="167"/>
      <c r="C110" s="191"/>
      <c r="D110" s="191"/>
      <c r="E110" s="191"/>
      <c r="F110" s="191"/>
      <c r="G110" s="171"/>
    </row>
    <row r="111" spans="1:7" ht="17.100000000000001" customHeight="1">
      <c r="A111" s="75" t="s">
        <v>183</v>
      </c>
      <c r="B111" s="126" t="s">
        <v>183</v>
      </c>
      <c r="C111" s="75" t="s">
        <v>183</v>
      </c>
      <c r="D111" s="125" t="s">
        <v>183</v>
      </c>
      <c r="E111" s="125" t="s">
        <v>183</v>
      </c>
      <c r="F111" s="125" t="s">
        <v>183</v>
      </c>
      <c r="G111" s="124" t="s">
        <v>183</v>
      </c>
    </row>
    <row r="112" spans="1:7" ht="17.100000000000001" customHeight="1" thickBot="1">
      <c r="A112" s="96" t="s">
        <v>191</v>
      </c>
      <c r="B112" s="116"/>
      <c r="C112" s="113"/>
      <c r="D112" s="115"/>
      <c r="E112" s="115"/>
      <c r="F112" s="115"/>
      <c r="G112" s="114"/>
    </row>
    <row r="113" spans="1:7" ht="17.100000000000001" customHeight="1">
      <c r="A113" s="98" t="s">
        <v>198</v>
      </c>
      <c r="B113" s="107"/>
      <c r="C113" s="108"/>
      <c r="D113" s="127"/>
      <c r="E113" s="127"/>
      <c r="F113" s="109"/>
      <c r="G113" s="110"/>
    </row>
    <row r="114" spans="1:7" ht="17.45" customHeight="1" thickBot="1">
      <c r="A114" s="99" t="s">
        <v>193</v>
      </c>
      <c r="B114" s="100"/>
      <c r="C114" s="102"/>
      <c r="D114" s="85"/>
      <c r="E114" s="85"/>
      <c r="F114" s="101"/>
      <c r="G114" s="103"/>
    </row>
    <row r="115" spans="1:7" ht="17.100000000000001" customHeight="1"/>
    <row r="116" spans="1:7" ht="17.45" customHeight="1" thickBot="1"/>
    <row r="117" spans="1:7" ht="17.100000000000001" customHeight="1">
      <c r="A117" s="95"/>
      <c r="B117" s="192"/>
      <c r="C117" s="193"/>
      <c r="D117" s="193"/>
      <c r="E117" s="193"/>
      <c r="F117" s="193"/>
      <c r="G117" s="166"/>
    </row>
    <row r="118" spans="1:7" ht="17.45" customHeight="1">
      <c r="A118" s="95"/>
      <c r="B118" s="167" t="s">
        <v>287</v>
      </c>
      <c r="C118" s="191"/>
      <c r="D118" s="191"/>
      <c r="E118" s="191"/>
      <c r="F118" s="191"/>
      <c r="G118" s="171"/>
    </row>
    <row r="119" spans="1:7" ht="17.100000000000001" customHeight="1">
      <c r="A119" s="95"/>
      <c r="B119" s="78" t="s">
        <v>169</v>
      </c>
      <c r="C119" s="97" t="s">
        <v>170</v>
      </c>
      <c r="D119" s="111" t="s">
        <v>171</v>
      </c>
      <c r="E119" s="111" t="s">
        <v>172</v>
      </c>
      <c r="F119" s="111" t="s">
        <v>173</v>
      </c>
      <c r="G119" s="112" t="s">
        <v>174</v>
      </c>
    </row>
    <row r="120" spans="1:7" ht="17.100000000000001" customHeight="1">
      <c r="A120" s="95"/>
      <c r="B120" s="167"/>
      <c r="C120" s="191"/>
      <c r="D120" s="191"/>
      <c r="E120" s="191"/>
      <c r="F120" s="191"/>
      <c r="G120" s="171"/>
    </row>
    <row r="121" spans="1:7" ht="17.100000000000001" customHeight="1">
      <c r="A121" s="75" t="s">
        <v>183</v>
      </c>
      <c r="B121" s="126" t="s">
        <v>183</v>
      </c>
      <c r="C121" s="75" t="s">
        <v>183</v>
      </c>
      <c r="D121" s="125" t="s">
        <v>183</v>
      </c>
      <c r="E121" s="125" t="s">
        <v>183</v>
      </c>
      <c r="F121" s="125" t="s">
        <v>183</v>
      </c>
      <c r="G121" s="124" t="s">
        <v>183</v>
      </c>
    </row>
    <row r="122" spans="1:7" ht="17.100000000000001" customHeight="1" thickBot="1">
      <c r="A122" s="96" t="s">
        <v>191</v>
      </c>
      <c r="B122" s="116"/>
      <c r="C122" s="113"/>
      <c r="D122" s="115"/>
      <c r="E122" s="115"/>
      <c r="F122" s="115"/>
      <c r="G122" s="114"/>
    </row>
    <row r="123" spans="1:7" ht="17.100000000000001" customHeight="1">
      <c r="A123" s="98" t="s">
        <v>198</v>
      </c>
      <c r="B123" s="107"/>
      <c r="C123" s="108"/>
      <c r="D123" s="127"/>
      <c r="E123" s="127"/>
      <c r="F123" s="109"/>
      <c r="G123" s="110"/>
    </row>
    <row r="124" spans="1:7" ht="17.100000000000001" customHeight="1" thickBot="1">
      <c r="A124" s="99" t="s">
        <v>193</v>
      </c>
      <c r="B124" s="100"/>
      <c r="C124" s="102"/>
      <c r="D124" s="85"/>
      <c r="E124" s="85"/>
      <c r="F124" s="101"/>
      <c r="G124" s="103"/>
    </row>
    <row r="125" spans="1:7" ht="17.100000000000001" customHeight="1"/>
    <row r="126" spans="1:7" ht="17.100000000000001" customHeight="1" thickBot="1"/>
    <row r="127" spans="1:7" ht="17.100000000000001" customHeight="1">
      <c r="A127" s="95"/>
      <c r="B127" s="192"/>
      <c r="C127" s="193"/>
      <c r="D127" s="193"/>
      <c r="E127" s="193"/>
      <c r="F127" s="193"/>
      <c r="G127" s="166"/>
    </row>
    <row r="128" spans="1:7" ht="17.100000000000001" customHeight="1">
      <c r="A128" s="95"/>
      <c r="B128" s="167" t="s">
        <v>288</v>
      </c>
      <c r="C128" s="191"/>
      <c r="D128" s="191"/>
      <c r="E128" s="191"/>
      <c r="F128" s="191"/>
      <c r="G128" s="171"/>
    </row>
    <row r="129" spans="1:7" ht="17.100000000000001" customHeight="1">
      <c r="A129" s="95"/>
      <c r="B129" s="78" t="s">
        <v>169</v>
      </c>
      <c r="C129" s="97" t="s">
        <v>170</v>
      </c>
      <c r="D129" s="111" t="s">
        <v>171</v>
      </c>
      <c r="E129" s="111" t="s">
        <v>172</v>
      </c>
      <c r="F129" s="111" t="s">
        <v>173</v>
      </c>
      <c r="G129" s="112" t="s">
        <v>174</v>
      </c>
    </row>
    <row r="130" spans="1:7" ht="17.45" customHeight="1">
      <c r="A130" s="95"/>
      <c r="B130" s="167"/>
      <c r="C130" s="191"/>
      <c r="D130" s="191"/>
      <c r="E130" s="191"/>
      <c r="F130" s="191"/>
      <c r="G130" s="171"/>
    </row>
    <row r="131" spans="1:7" ht="17.100000000000001" customHeight="1">
      <c r="A131" s="75" t="s">
        <v>183</v>
      </c>
      <c r="B131" s="126" t="s">
        <v>183</v>
      </c>
      <c r="C131" s="75" t="s">
        <v>183</v>
      </c>
      <c r="D131" s="125" t="s">
        <v>183</v>
      </c>
      <c r="E131" s="125" t="s">
        <v>183</v>
      </c>
      <c r="F131" s="125" t="s">
        <v>183</v>
      </c>
      <c r="G131" s="124" t="s">
        <v>183</v>
      </c>
    </row>
    <row r="132" spans="1:7" ht="17.45" customHeight="1" thickBot="1">
      <c r="A132" s="96" t="s">
        <v>191</v>
      </c>
      <c r="B132" s="116"/>
      <c r="C132" s="113"/>
      <c r="D132" s="115"/>
      <c r="E132" s="115"/>
      <c r="F132" s="115"/>
      <c r="G132" s="114"/>
    </row>
    <row r="133" spans="1:7" ht="17.100000000000001" customHeight="1">
      <c r="A133" s="98" t="s">
        <v>198</v>
      </c>
      <c r="B133" s="107"/>
      <c r="C133" s="108"/>
      <c r="D133" s="127"/>
      <c r="E133" s="127"/>
      <c r="F133" s="109"/>
      <c r="G133" s="110"/>
    </row>
    <row r="134" spans="1:7" ht="17.45" customHeight="1" thickBot="1">
      <c r="A134" s="99" t="s">
        <v>193</v>
      </c>
      <c r="B134" s="100"/>
      <c r="C134" s="102"/>
      <c r="D134" s="85"/>
      <c r="E134" s="85"/>
      <c r="F134" s="101"/>
      <c r="G134" s="103"/>
    </row>
    <row r="135" spans="1:7" ht="17.100000000000001" customHeight="1"/>
    <row r="136" spans="1:7" ht="17.100000000000001" customHeight="1" thickBot="1"/>
    <row r="137" spans="1:7" ht="17.100000000000001" customHeight="1">
      <c r="A137" s="95"/>
      <c r="B137" s="192"/>
      <c r="C137" s="193"/>
      <c r="D137" s="193"/>
      <c r="E137" s="193"/>
      <c r="F137" s="193"/>
      <c r="G137" s="166"/>
    </row>
    <row r="138" spans="1:7" ht="17.100000000000001" customHeight="1">
      <c r="A138" s="95"/>
      <c r="B138" s="167" t="s">
        <v>289</v>
      </c>
      <c r="C138" s="191"/>
      <c r="D138" s="191"/>
      <c r="E138" s="191"/>
      <c r="F138" s="191"/>
      <c r="G138" s="171"/>
    </row>
    <row r="139" spans="1:7" ht="17.100000000000001" customHeight="1">
      <c r="A139" s="95"/>
      <c r="B139" s="78" t="s">
        <v>169</v>
      </c>
      <c r="C139" s="97" t="s">
        <v>170</v>
      </c>
      <c r="D139" s="111" t="s">
        <v>171</v>
      </c>
      <c r="E139" s="111" t="s">
        <v>172</v>
      </c>
      <c r="F139" s="111" t="s">
        <v>173</v>
      </c>
      <c r="G139" s="112" t="s">
        <v>174</v>
      </c>
    </row>
    <row r="140" spans="1:7" ht="17.100000000000001" customHeight="1">
      <c r="A140" s="95"/>
      <c r="B140" s="167"/>
      <c r="C140" s="191"/>
      <c r="D140" s="191"/>
      <c r="E140" s="191"/>
      <c r="F140" s="191"/>
      <c r="G140" s="171"/>
    </row>
    <row r="141" spans="1:7" ht="17.100000000000001" customHeight="1">
      <c r="A141" s="75" t="s">
        <v>183</v>
      </c>
      <c r="B141" s="126" t="s">
        <v>183</v>
      </c>
      <c r="C141" s="75" t="s">
        <v>183</v>
      </c>
      <c r="D141" s="125" t="s">
        <v>183</v>
      </c>
      <c r="E141" s="125" t="s">
        <v>183</v>
      </c>
      <c r="F141" s="125" t="s">
        <v>183</v>
      </c>
      <c r="G141" s="124" t="s">
        <v>183</v>
      </c>
    </row>
    <row r="142" spans="1:7" ht="17.100000000000001" customHeight="1" thickBot="1">
      <c r="A142" s="96" t="s">
        <v>191</v>
      </c>
      <c r="B142" s="116"/>
      <c r="C142" s="113"/>
      <c r="D142" s="115"/>
      <c r="E142" s="115"/>
      <c r="F142" s="115"/>
      <c r="G142" s="114"/>
    </row>
    <row r="143" spans="1:7" ht="17.100000000000001" customHeight="1">
      <c r="A143" s="98" t="s">
        <v>198</v>
      </c>
      <c r="B143" s="107"/>
      <c r="C143" s="108"/>
      <c r="D143" s="127"/>
      <c r="E143" s="127"/>
      <c r="F143" s="109"/>
      <c r="G143" s="110"/>
    </row>
    <row r="144" spans="1:7" ht="17.100000000000001" customHeight="1" thickBot="1">
      <c r="A144" s="99" t="s">
        <v>193</v>
      </c>
      <c r="B144" s="100"/>
      <c r="C144" s="102"/>
      <c r="D144" s="85"/>
      <c r="E144" s="85"/>
      <c r="F144" s="101"/>
      <c r="G144" s="103"/>
    </row>
    <row r="145" spans="1:7" ht="17.100000000000001" customHeight="1"/>
    <row r="146" spans="1:7" ht="17.45" customHeight="1" thickBot="1"/>
    <row r="147" spans="1:7" ht="17.100000000000001" customHeight="1">
      <c r="A147" s="95"/>
      <c r="B147" s="192"/>
      <c r="C147" s="193"/>
      <c r="D147" s="193"/>
      <c r="E147" s="193"/>
      <c r="F147" s="193"/>
      <c r="G147" s="166"/>
    </row>
    <row r="148" spans="1:7" ht="17.45" customHeight="1">
      <c r="A148" s="95"/>
      <c r="B148" s="167" t="s">
        <v>290</v>
      </c>
      <c r="C148" s="191"/>
      <c r="D148" s="191"/>
      <c r="E148" s="191"/>
      <c r="F148" s="191"/>
      <c r="G148" s="171"/>
    </row>
    <row r="149" spans="1:7" ht="17.100000000000001" customHeight="1">
      <c r="A149" s="95"/>
      <c r="B149" s="78" t="s">
        <v>169</v>
      </c>
      <c r="C149" s="97" t="s">
        <v>170</v>
      </c>
      <c r="D149" s="111" t="s">
        <v>171</v>
      </c>
      <c r="E149" s="111" t="s">
        <v>172</v>
      </c>
      <c r="F149" s="111" t="s">
        <v>173</v>
      </c>
      <c r="G149" s="112" t="s">
        <v>174</v>
      </c>
    </row>
    <row r="150" spans="1:7" ht="17.45" customHeight="1">
      <c r="A150" s="95"/>
      <c r="B150" s="167"/>
      <c r="C150" s="191"/>
      <c r="D150" s="191"/>
      <c r="E150" s="191"/>
      <c r="F150" s="191"/>
      <c r="G150" s="171"/>
    </row>
    <row r="151" spans="1:7" ht="17.100000000000001" customHeight="1">
      <c r="A151" s="75" t="s">
        <v>183</v>
      </c>
      <c r="B151" s="126" t="s">
        <v>183</v>
      </c>
      <c r="C151" s="75" t="s">
        <v>183</v>
      </c>
      <c r="D151" s="125" t="s">
        <v>183</v>
      </c>
      <c r="E151" s="125" t="s">
        <v>183</v>
      </c>
      <c r="F151" s="125" t="s">
        <v>183</v>
      </c>
      <c r="G151" s="124" t="s">
        <v>183</v>
      </c>
    </row>
    <row r="152" spans="1:7" ht="17.100000000000001" customHeight="1" thickBot="1">
      <c r="A152" s="96" t="s">
        <v>191</v>
      </c>
      <c r="B152" s="116"/>
      <c r="C152" s="113"/>
      <c r="D152" s="115"/>
      <c r="E152" s="115"/>
      <c r="F152" s="115"/>
      <c r="G152" s="114"/>
    </row>
    <row r="153" spans="1:7" ht="17.100000000000001" customHeight="1">
      <c r="A153" s="98" t="s">
        <v>198</v>
      </c>
      <c r="B153" s="107"/>
      <c r="C153" s="108"/>
      <c r="D153" s="127"/>
      <c r="E153" s="127"/>
      <c r="F153" s="109"/>
      <c r="G153" s="110"/>
    </row>
    <row r="154" spans="1:7" ht="17.100000000000001" customHeight="1" thickBot="1">
      <c r="A154" s="99" t="s">
        <v>193</v>
      </c>
      <c r="B154" s="100"/>
      <c r="C154" s="102"/>
      <c r="D154" s="85"/>
      <c r="E154" s="85"/>
      <c r="F154" s="101"/>
      <c r="G154" s="103"/>
    </row>
    <row r="155" spans="1:7" ht="17.100000000000001" customHeight="1"/>
    <row r="156" spans="1:7" ht="17.100000000000001" customHeight="1"/>
    <row r="157" spans="1:7" ht="17.100000000000001" customHeight="1"/>
    <row r="158" spans="1:7" ht="17.100000000000001" customHeight="1"/>
    <row r="159" spans="1:7" ht="17.100000000000001" customHeight="1"/>
    <row r="160" spans="1:7" ht="17.100000000000001" customHeight="1"/>
    <row r="161" ht="17.100000000000001" customHeight="1"/>
    <row r="162" ht="17.45" customHeight="1"/>
    <row r="163" ht="17.100000000000001" customHeight="1"/>
    <row r="164" ht="17.45" customHeight="1"/>
    <row r="165" ht="17.100000000000001" customHeight="1"/>
    <row r="166" ht="17.45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45" customHeight="1"/>
    <row r="179" ht="17.100000000000001" customHeight="1"/>
    <row r="180" ht="17.45" customHeight="1"/>
    <row r="181" ht="17.100000000000001" customHeight="1"/>
    <row r="182" ht="17.45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45" customHeight="1"/>
    <row r="195" ht="17.100000000000001" customHeight="1"/>
    <row r="196" ht="17.45" customHeight="1"/>
    <row r="197" ht="17.100000000000001" customHeight="1"/>
    <row r="198" ht="17.45" customHeight="1"/>
  </sheetData>
  <mergeCells count="42">
    <mergeCell ref="B67:G67"/>
    <mergeCell ref="B1:E1"/>
    <mergeCell ref="B2:E2"/>
    <mergeCell ref="B17:E17"/>
    <mergeCell ref="B18:E18"/>
    <mergeCell ref="B25:G25"/>
    <mergeCell ref="B26:G26"/>
    <mergeCell ref="B28:G28"/>
    <mergeCell ref="B38:G38"/>
    <mergeCell ref="B39:G39"/>
    <mergeCell ref="B9:E9"/>
    <mergeCell ref="B10:E10"/>
    <mergeCell ref="B41:G41"/>
    <mergeCell ref="B51:G51"/>
    <mergeCell ref="B52:G52"/>
    <mergeCell ref="B54:G54"/>
    <mergeCell ref="B64:G64"/>
    <mergeCell ref="B65:G65"/>
    <mergeCell ref="B118:G118"/>
    <mergeCell ref="B77:G77"/>
    <mergeCell ref="B78:G78"/>
    <mergeCell ref="B80:G80"/>
    <mergeCell ref="B87:G87"/>
    <mergeCell ref="B88:G88"/>
    <mergeCell ref="B90:G90"/>
    <mergeCell ref="B97:G97"/>
    <mergeCell ref="B98:G98"/>
    <mergeCell ref="B100:G100"/>
    <mergeCell ref="B107:G107"/>
    <mergeCell ref="B108:G108"/>
    <mergeCell ref="B110:G110"/>
    <mergeCell ref="B117:G117"/>
    <mergeCell ref="B140:G140"/>
    <mergeCell ref="B147:G147"/>
    <mergeCell ref="B148:G148"/>
    <mergeCell ref="B150:G150"/>
    <mergeCell ref="B120:G120"/>
    <mergeCell ref="B127:G127"/>
    <mergeCell ref="B128:G128"/>
    <mergeCell ref="B130:G130"/>
    <mergeCell ref="B137:G137"/>
    <mergeCell ref="B138:G138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27bdbf-e6cc-4e33-85d2-e1c81bad930a}" enabled="0" method="" siteId="{1a27bdbf-e6cc-4e33-85d2-e1c81bad93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Taewoong Yoon (윤태웅)</dc:creator>
  <cp:keywords/>
  <dc:description/>
  <cp:lastModifiedBy/>
  <cp:revision/>
  <dcterms:created xsi:type="dcterms:W3CDTF">2026-03-13T02:27:23Z</dcterms:created>
  <dcterms:modified xsi:type="dcterms:W3CDTF">2026-04-13T08:55:25Z</dcterms:modified>
  <cp:category/>
  <cp:contentStatus/>
</cp:coreProperties>
</file>